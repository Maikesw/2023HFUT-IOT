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邓傑湧\Desktop\大二上作业\大学物理实验\"/>
    </mc:Choice>
  </mc:AlternateContent>
  <xr:revisionPtr revIDLastSave="0" documentId="13_ncr:1_{1A6CF8F5-E7E1-42F0-9F16-FF841876C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C22" i="1"/>
  <c r="C21" i="1"/>
  <c r="C19" i="1"/>
  <c r="E20" i="1"/>
  <c r="E18" i="1"/>
  <c r="C20" i="1"/>
  <c r="C17" i="1"/>
  <c r="C18" i="1"/>
  <c r="G16" i="1"/>
  <c r="J13" i="1"/>
  <c r="J10" i="1"/>
  <c r="J3" i="1"/>
  <c r="G3" i="1"/>
  <c r="G6" i="1"/>
</calcChain>
</file>

<file path=xl/sharedStrings.xml><?xml version="1.0" encoding="utf-8"?>
<sst xmlns="http://schemas.openxmlformats.org/spreadsheetml/2006/main" count="37" uniqueCount="33">
  <si>
    <t>形状</t>
    <phoneticPr fontId="1" type="noConversion"/>
  </si>
  <si>
    <t>质量/kg</t>
    <phoneticPr fontId="1" type="noConversion"/>
  </si>
  <si>
    <t>仪器常量与平行轴间距/m</t>
    <phoneticPr fontId="1" type="noConversion"/>
  </si>
  <si>
    <t>30个周期的时间t/s</t>
  </si>
  <si>
    <t>平均周期T/s</t>
    <phoneticPr fontId="1" type="noConversion"/>
  </si>
  <si>
    <t>圆盘</t>
    <phoneticPr fontId="1" type="noConversion"/>
  </si>
  <si>
    <t>圆环</t>
    <phoneticPr fontId="1" type="noConversion"/>
  </si>
  <si>
    <t>圆柱</t>
    <phoneticPr fontId="1" type="noConversion"/>
  </si>
  <si>
    <t>a1=</t>
    <phoneticPr fontId="1" type="noConversion"/>
  </si>
  <si>
    <t>a2=</t>
    <phoneticPr fontId="1" type="noConversion"/>
  </si>
  <si>
    <t>a3=</t>
    <phoneticPr fontId="1" type="noConversion"/>
  </si>
  <si>
    <t>b1=</t>
    <phoneticPr fontId="1" type="noConversion"/>
  </si>
  <si>
    <t>b2=</t>
    <phoneticPr fontId="1" type="noConversion"/>
  </si>
  <si>
    <t>b3=</t>
    <phoneticPr fontId="1" type="noConversion"/>
  </si>
  <si>
    <t>r0=</t>
    <phoneticPr fontId="1" type="noConversion"/>
  </si>
  <si>
    <t>rd=</t>
    <phoneticPr fontId="1" type="noConversion"/>
  </si>
  <si>
    <t>r=</t>
    <phoneticPr fontId="1" type="noConversion"/>
  </si>
  <si>
    <t>R=</t>
    <phoneticPr fontId="1" type="noConversion"/>
  </si>
  <si>
    <t>l=</t>
    <phoneticPr fontId="1" type="noConversion"/>
  </si>
  <si>
    <t>2d=</t>
    <phoneticPr fontId="1" type="noConversion"/>
  </si>
  <si>
    <t>D1=2a=</t>
    <phoneticPr fontId="1" type="noConversion"/>
  </si>
  <si>
    <t>D2=2b=</t>
    <phoneticPr fontId="1" type="noConversion"/>
  </si>
  <si>
    <t>I0</t>
    <phoneticPr fontId="1" type="noConversion"/>
  </si>
  <si>
    <t>g</t>
    <phoneticPr fontId="1" type="noConversion"/>
  </si>
  <si>
    <t>pai</t>
    <phoneticPr fontId="1" type="noConversion"/>
  </si>
  <si>
    <t>H</t>
    <phoneticPr fontId="1" type="noConversion"/>
  </si>
  <si>
    <t>I'</t>
    <phoneticPr fontId="1" type="noConversion"/>
  </si>
  <si>
    <t>E</t>
    <phoneticPr fontId="1" type="noConversion"/>
  </si>
  <si>
    <t>I0'</t>
    <phoneticPr fontId="1" type="noConversion"/>
  </si>
  <si>
    <t>I</t>
    <phoneticPr fontId="1" type="noConversion"/>
  </si>
  <si>
    <t>圆盘</t>
    <phoneticPr fontId="1" type="noConversion"/>
  </si>
  <si>
    <t>圆环</t>
    <phoneticPr fontId="1" type="noConversion"/>
  </si>
  <si>
    <t>圆柱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</si>
</sst>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);[Red]\(0.000\)"/>
    <numFmt numFmtId="177" formatCode="0.0000_);[Red]\(0.0000\)"/>
    <numFmt numFmtId="178" formatCode="0.00000"/>
    <numFmt numFmtId="179" formatCode="0.0000"/>
    <numFmt numFmtId="180" formatCode="0.000"/>
    <numFmt numFmtId="181" formatCode="0.00000000_);[Red]\(0.00000000\)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0" fontId="2" fillId="0" borderId="0" xfId="0" applyFont="1">
      <alignment vertical="center"/>
    </xf>
    <xf numFmtId="178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81" fontId="0" fillId="0" borderId="0" xfId="1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176" fontId="2" fillId="0" borderId="4" xfId="0" applyNumberFormat="1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2"/>
  <sheetViews>
    <sheetView tabSelected="1" workbookViewId="0">
      <selection activeCell="I17" sqref="I17"/>
    </sheetView>
  </sheetViews>
  <sheetFormatPr defaultColWidth="9" defaultRowHeight="14.4" x14ac:dyDescent="0.25"/>
  <cols>
    <col min="3" max="3" width="12.77734375" bestFit="1" customWidth="1"/>
    <col min="4" max="4" width="6.6640625" customWidth="1"/>
    <col min="5" max="5" width="15.77734375" customWidth="1"/>
    <col min="6" max="6" width="7.5546875" customWidth="1"/>
    <col min="7" max="7" width="15.77734375" customWidth="1"/>
    <col min="8" max="8" width="4" customWidth="1"/>
    <col min="9" max="9" width="18" customWidth="1"/>
    <col min="10" max="10" width="12.77734375" bestFit="1" customWidth="1"/>
  </cols>
  <sheetData>
    <row r="2" spans="2:10" x14ac:dyDescent="0.25">
      <c r="B2" s="2" t="s">
        <v>0</v>
      </c>
      <c r="C2" s="2" t="s">
        <v>1</v>
      </c>
      <c r="D2" s="25" t="s">
        <v>2</v>
      </c>
      <c r="E2" s="23"/>
      <c r="F2" s="23"/>
      <c r="G2" s="23"/>
      <c r="H2" s="23" t="s">
        <v>3</v>
      </c>
      <c r="I2" s="24"/>
      <c r="J2" s="2" t="s">
        <v>4</v>
      </c>
    </row>
    <row r="3" spans="2:10" x14ac:dyDescent="0.25">
      <c r="B3" s="13" t="s">
        <v>5</v>
      </c>
      <c r="C3" s="13">
        <v>1.2729999999999999</v>
      </c>
      <c r="D3" s="2" t="s">
        <v>8</v>
      </c>
      <c r="E3" s="32">
        <v>7.6999999999999999E-2</v>
      </c>
      <c r="F3" s="31" t="s">
        <v>16</v>
      </c>
      <c r="G3" s="28">
        <f>SQRT(3)/3*E3</f>
        <v>4.4455970727601178E-2</v>
      </c>
      <c r="H3" s="19">
        <v>1</v>
      </c>
      <c r="I3" s="22">
        <v>42.33</v>
      </c>
      <c r="J3" s="16">
        <f>AVERAGE(I3:I9)/30</f>
        <v>1.4222222222222221</v>
      </c>
    </row>
    <row r="4" spans="2:10" x14ac:dyDescent="0.25">
      <c r="B4" s="14"/>
      <c r="C4" s="14"/>
      <c r="D4" s="2" t="s">
        <v>9</v>
      </c>
      <c r="E4" s="33"/>
      <c r="F4" s="21"/>
      <c r="G4" s="28"/>
      <c r="H4" s="20"/>
      <c r="I4" s="15"/>
      <c r="J4" s="17"/>
    </row>
    <row r="5" spans="2:10" x14ac:dyDescent="0.25">
      <c r="B5" s="14"/>
      <c r="C5" s="14"/>
      <c r="D5" s="2" t="s">
        <v>10</v>
      </c>
      <c r="E5" s="34"/>
      <c r="F5" s="20"/>
      <c r="G5" s="28"/>
      <c r="H5" s="19">
        <v>2</v>
      </c>
      <c r="I5" s="22">
        <v>43.08</v>
      </c>
      <c r="J5" s="17"/>
    </row>
    <row r="6" spans="2:10" x14ac:dyDescent="0.25">
      <c r="B6" s="14"/>
      <c r="C6" s="14"/>
      <c r="D6" s="2" t="s">
        <v>11</v>
      </c>
      <c r="E6" s="32">
        <v>0.16</v>
      </c>
      <c r="F6" s="31" t="s">
        <v>17</v>
      </c>
      <c r="G6" s="29">
        <f>SQRT(3)/3*E6</f>
        <v>9.2376043070340114E-2</v>
      </c>
      <c r="H6" s="20"/>
      <c r="I6" s="15"/>
      <c r="J6" s="17"/>
    </row>
    <row r="7" spans="2:10" x14ac:dyDescent="0.25">
      <c r="B7" s="14"/>
      <c r="C7" s="14"/>
      <c r="D7" s="2" t="s">
        <v>12</v>
      </c>
      <c r="E7" s="33"/>
      <c r="F7" s="21"/>
      <c r="G7" s="29"/>
      <c r="H7" s="19">
        <v>3</v>
      </c>
      <c r="I7" s="22">
        <v>42.59</v>
      </c>
      <c r="J7" s="17"/>
    </row>
    <row r="8" spans="2:10" x14ac:dyDescent="0.25">
      <c r="B8" s="14"/>
      <c r="C8" s="14"/>
      <c r="D8" s="2" t="s">
        <v>13</v>
      </c>
      <c r="E8" s="34"/>
      <c r="F8" s="20"/>
      <c r="G8" s="29"/>
      <c r="H8" s="21"/>
      <c r="I8" s="14"/>
      <c r="J8" s="17"/>
    </row>
    <row r="9" spans="2:10" x14ac:dyDescent="0.25">
      <c r="B9" s="15"/>
      <c r="C9" s="15"/>
      <c r="D9" s="2" t="s">
        <v>14</v>
      </c>
      <c r="E9" s="5">
        <v>9.6000000000000002E-2</v>
      </c>
      <c r="F9" s="2" t="s">
        <v>18</v>
      </c>
      <c r="G9" s="4">
        <v>0.45500000000000002</v>
      </c>
      <c r="H9" s="20"/>
      <c r="I9" s="15"/>
      <c r="J9" s="18"/>
    </row>
    <row r="10" spans="2:10" x14ac:dyDescent="0.25">
      <c r="B10" s="13" t="s">
        <v>6</v>
      </c>
      <c r="C10" s="13">
        <v>0.55500000000000005</v>
      </c>
      <c r="D10" s="31" t="s">
        <v>20</v>
      </c>
      <c r="E10" s="13">
        <v>0.10100000000000001</v>
      </c>
      <c r="F10" s="31" t="s">
        <v>21</v>
      </c>
      <c r="G10" s="30">
        <v>0.15</v>
      </c>
      <c r="H10" s="3">
        <v>1</v>
      </c>
      <c r="I10" s="1">
        <v>42.06</v>
      </c>
      <c r="J10" s="16">
        <f>AVERAGE(I10:I12)/30</f>
        <v>1.397888888888889</v>
      </c>
    </row>
    <row r="11" spans="2:10" x14ac:dyDescent="0.25">
      <c r="B11" s="14"/>
      <c r="C11" s="14"/>
      <c r="D11" s="21"/>
      <c r="E11" s="26"/>
      <c r="F11" s="21"/>
      <c r="G11" s="30"/>
      <c r="H11" s="3">
        <v>2</v>
      </c>
      <c r="I11" s="6">
        <v>41.9</v>
      </c>
      <c r="J11" s="17"/>
    </row>
    <row r="12" spans="2:10" x14ac:dyDescent="0.25">
      <c r="B12" s="15"/>
      <c r="C12" s="15"/>
      <c r="D12" s="20"/>
      <c r="E12" s="27"/>
      <c r="F12" s="20"/>
      <c r="G12" s="30"/>
      <c r="H12" s="3">
        <v>3</v>
      </c>
      <c r="I12" s="1">
        <v>41.85</v>
      </c>
      <c r="J12" s="18"/>
    </row>
    <row r="13" spans="2:10" x14ac:dyDescent="0.25">
      <c r="B13" s="13" t="s">
        <v>7</v>
      </c>
      <c r="C13" s="13">
        <v>7.2999999999999995E-2</v>
      </c>
      <c r="D13" s="31" t="s">
        <v>15</v>
      </c>
      <c r="E13" s="13">
        <v>1.4999999999999999E-2</v>
      </c>
      <c r="F13" s="31" t="s">
        <v>19</v>
      </c>
      <c r="G13" s="30">
        <v>0.11</v>
      </c>
      <c r="H13" s="3">
        <v>1</v>
      </c>
      <c r="I13" s="1">
        <v>41.02</v>
      </c>
      <c r="J13" s="16">
        <f>AVERAGE(I13:I15)/30</f>
        <v>1.3684444444444446</v>
      </c>
    </row>
    <row r="14" spans="2:10" x14ac:dyDescent="0.25">
      <c r="B14" s="14"/>
      <c r="C14" s="14"/>
      <c r="D14" s="21"/>
      <c r="E14" s="26"/>
      <c r="F14" s="21"/>
      <c r="G14" s="30"/>
      <c r="H14" s="3">
        <v>2</v>
      </c>
      <c r="I14" s="1">
        <v>41.04</v>
      </c>
      <c r="J14" s="17"/>
    </row>
    <row r="15" spans="2:10" x14ac:dyDescent="0.25">
      <c r="B15" s="15"/>
      <c r="C15" s="15"/>
      <c r="D15" s="20"/>
      <c r="E15" s="27"/>
      <c r="F15" s="20"/>
      <c r="G15" s="30"/>
      <c r="H15" s="3">
        <v>3</v>
      </c>
      <c r="I15" s="6">
        <v>41.1</v>
      </c>
      <c r="J15" s="18"/>
    </row>
    <row r="16" spans="2:10" x14ac:dyDescent="0.25">
      <c r="B16" s="7" t="s">
        <v>23</v>
      </c>
      <c r="C16">
        <v>9.8000000000000007</v>
      </c>
      <c r="D16" s="7" t="s">
        <v>24</v>
      </c>
      <c r="E16">
        <v>3.1415999999999999</v>
      </c>
      <c r="F16" s="7" t="s">
        <v>25</v>
      </c>
      <c r="G16">
        <f>SQRT(G9*G9-(G6-G3)*(G6-G3))</f>
        <v>0.45246952015209452</v>
      </c>
    </row>
    <row r="17" spans="1:5" x14ac:dyDescent="0.25">
      <c r="A17" s="11" t="s">
        <v>30</v>
      </c>
      <c r="B17" s="7" t="s">
        <v>22</v>
      </c>
      <c r="C17" s="8">
        <f>(C3*C16*G6*G3)/(4*E16*E16*G16)*J3*J3</f>
        <v>5.8013324798701586E-3</v>
      </c>
    </row>
    <row r="18" spans="1:5" x14ac:dyDescent="0.25">
      <c r="A18" s="12"/>
      <c r="B18" s="7" t="s">
        <v>28</v>
      </c>
      <c r="C18">
        <f>0.5*E9*E9*C3</f>
        <v>5.8659839999999994E-3</v>
      </c>
      <c r="D18" s="7" t="s">
        <v>27</v>
      </c>
      <c r="E18" s="9">
        <f>(C18-C17)/C18</f>
        <v>1.1021427970113946E-2</v>
      </c>
    </row>
    <row r="19" spans="1:5" x14ac:dyDescent="0.25">
      <c r="A19" s="11" t="s">
        <v>31</v>
      </c>
      <c r="B19" s="7" t="s">
        <v>29</v>
      </c>
      <c r="C19">
        <f>(C16*G6*G3)/(4*E16*E16*G16)*J10*J10*(C3+C10)-C17</f>
        <v>2.2466297434011323E-3</v>
      </c>
    </row>
    <row r="20" spans="1:5" x14ac:dyDescent="0.25">
      <c r="A20" s="12"/>
      <c r="B20" s="7" t="s">
        <v>26</v>
      </c>
      <c r="C20" s="7">
        <f>0.5*C10*(E10*E10+G10*G10)/4</f>
        <v>2.2686318750000001E-3</v>
      </c>
      <c r="D20" s="7" t="s">
        <v>27</v>
      </c>
      <c r="E20" s="9">
        <f>(C20-C19)/C20</f>
        <v>9.6984142034360621E-3</v>
      </c>
    </row>
    <row r="21" spans="1:5" x14ac:dyDescent="0.25">
      <c r="A21" s="11" t="s">
        <v>32</v>
      </c>
      <c r="B21" s="7" t="s">
        <v>29</v>
      </c>
      <c r="C21" s="10">
        <f>0.5*((C16*G6*G3)/(4*E16*E16*G16)*J13*J13*(2*C13+C3)-C17)</f>
        <v>9.2778003677416836E-5</v>
      </c>
    </row>
    <row r="22" spans="1:5" x14ac:dyDescent="0.25">
      <c r="A22" s="12"/>
      <c r="B22" s="7" t="s">
        <v>26</v>
      </c>
      <c r="C22">
        <f>C13*0.055*0.055+0.5*C13*E13*E13</f>
        <v>2.2903749999999995E-4</v>
      </c>
      <c r="D22" s="7" t="s">
        <v>27</v>
      </c>
      <c r="E22" s="9">
        <f>(C22-C21)/C22</f>
        <v>0.59492221283668889</v>
      </c>
    </row>
  </sheetData>
  <mergeCells count="34">
    <mergeCell ref="H2:I2"/>
    <mergeCell ref="D2:G2"/>
    <mergeCell ref="E10:E12"/>
    <mergeCell ref="E13:E15"/>
    <mergeCell ref="G3:G5"/>
    <mergeCell ref="G6:G8"/>
    <mergeCell ref="G10:G12"/>
    <mergeCell ref="G13:G15"/>
    <mergeCell ref="D10:D12"/>
    <mergeCell ref="D13:D15"/>
    <mergeCell ref="F10:F12"/>
    <mergeCell ref="F13:F15"/>
    <mergeCell ref="F3:F5"/>
    <mergeCell ref="F6:F8"/>
    <mergeCell ref="E3:E5"/>
    <mergeCell ref="E6:E8"/>
    <mergeCell ref="J10:J12"/>
    <mergeCell ref="J13:J15"/>
    <mergeCell ref="J3:J9"/>
    <mergeCell ref="H3:H4"/>
    <mergeCell ref="H5:H6"/>
    <mergeCell ref="H7:H9"/>
    <mergeCell ref="I3:I4"/>
    <mergeCell ref="I5:I6"/>
    <mergeCell ref="I7:I9"/>
    <mergeCell ref="A17:A18"/>
    <mergeCell ref="A19:A20"/>
    <mergeCell ref="A21:A22"/>
    <mergeCell ref="B3:B9"/>
    <mergeCell ref="C3:C9"/>
    <mergeCell ref="B10:B12"/>
    <mergeCell ref="B13:B15"/>
    <mergeCell ref="C13:C15"/>
    <mergeCell ref="C10:C1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>
      <selection activeCell="M15" sqref="M15"/>
    </sheetView>
  </sheetViews>
  <sheetFormatPr defaultColWidth="9" defaultRowHeight="14.4" x14ac:dyDescent="0.25"/>
  <cols>
    <col min="3" max="3" width="12.77734375" bestFit="1" customWidth="1"/>
  </cols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maikesw D</dc:creator>
  <cp:lastModifiedBy>maikesw D</cp:lastModifiedBy>
  <dcterms:created xsi:type="dcterms:W3CDTF">2023-05-12T11:15:00Z</dcterms:created>
  <dcterms:modified xsi:type="dcterms:W3CDTF">2024-11-27T03:31:32Z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