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柳希直" sheetId="1" r:id="rId1"/>
    <sheet name="邓杰湧" sheetId="2" r:id="rId2"/>
    <sheet name="尹衍哲" sheetId="3" r:id="rId3"/>
  </sheets>
  <calcPr calcId="144525"/>
</workbook>
</file>

<file path=xl/sharedStrings.xml><?xml version="1.0" encoding="utf-8"?>
<sst xmlns="http://schemas.openxmlformats.org/spreadsheetml/2006/main" count="27" uniqueCount="10">
  <si>
    <t>多普勒效应实验数据记录 实验环境温度27℃ f0=39790Hz</t>
  </si>
  <si>
    <t>次数</t>
  </si>
  <si>
    <t>接收器运动速度Vr（m/s）</t>
  </si>
  <si>
    <r>
      <rPr>
        <sz val="11"/>
        <color theme="1"/>
        <rFont val="宋体"/>
        <charset val="134"/>
        <scheme val="minor"/>
      </rPr>
      <t>多普勒偏移测量值</t>
    </r>
    <r>
      <rPr>
        <sz val="11"/>
        <color theme="1"/>
        <rFont val="宋体"/>
        <charset val="134"/>
      </rPr>
      <t>Δ</t>
    </r>
    <r>
      <rPr>
        <sz val="11"/>
        <color theme="1"/>
        <rFont val="宋体"/>
        <charset val="134"/>
        <scheme val="minor"/>
      </rPr>
      <t>f测（Hz）</t>
    </r>
  </si>
  <si>
    <r>
      <rPr>
        <sz val="11"/>
        <color theme="1"/>
        <rFont val="宋体"/>
        <charset val="134"/>
        <scheme val="minor"/>
      </rPr>
      <t>多普勒偏移理论值</t>
    </r>
    <r>
      <rPr>
        <sz val="11"/>
        <color theme="1"/>
        <rFont val="宋体"/>
        <charset val="134"/>
      </rPr>
      <t>Δ</t>
    </r>
    <r>
      <rPr>
        <sz val="11"/>
        <color theme="1"/>
        <rFont val="宋体"/>
        <charset val="134"/>
        <scheme val="minor"/>
      </rPr>
      <t>f理（Hz）</t>
    </r>
  </si>
  <si>
    <t>相对不确定度Er（%）</t>
  </si>
  <si>
    <t>t=</t>
  </si>
  <si>
    <t>f0=</t>
  </si>
  <si>
    <t>u0=</t>
  </si>
  <si>
    <t>多普勒效应实验数据记录 实验环境温度25℃ f0=39160Hz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</si>
</sst>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tabSelected="1" workbookViewId="0">
      <selection activeCell="F19" sqref="F19"/>
    </sheetView>
  </sheetViews>
  <sheetFormatPr defaultColWidth="9" defaultRowHeight="14.4" outlineLevelCol="6"/>
  <cols>
    <col min="1" max="2" width="4.66666666666667" customWidth="1"/>
    <col min="3" max="3" width="12.8888888888889" customWidth="1"/>
    <col min="4" max="4" width="26.5555555555556" customWidth="1"/>
    <col min="5" max="6" width="30.6666666666667" customWidth="1"/>
    <col min="7" max="7" width="22" customWidth="1"/>
  </cols>
  <sheetData>
    <row r="2" spans="3:7">
      <c r="C2" s="1" t="s">
        <v>0</v>
      </c>
      <c r="D2" s="1"/>
      <c r="E2" s="1"/>
      <c r="F2" s="1"/>
      <c r="G2" s="1"/>
    </row>
    <row r="3" spans="3:7">
      <c r="C3" s="2" t="s">
        <v>1</v>
      </c>
      <c r="D3" s="2" t="s">
        <v>2</v>
      </c>
      <c r="E3" s="3" t="s">
        <v>3</v>
      </c>
      <c r="F3" s="3" t="s">
        <v>4</v>
      </c>
      <c r="G3" s="2" t="s">
        <v>5</v>
      </c>
    </row>
    <row r="4" spans="3:7">
      <c r="C4" s="2">
        <v>1</v>
      </c>
      <c r="D4" s="4">
        <v>0.25</v>
      </c>
      <c r="E4" s="4">
        <v>28.89</v>
      </c>
      <c r="F4" s="4">
        <f>D4/C$18*C$17</f>
        <v>28.6304430137743</v>
      </c>
      <c r="G4" s="4">
        <f>(E4-F4)/F4*100</f>
        <v>0.906576912207764</v>
      </c>
    </row>
    <row r="5" spans="3:7">
      <c r="C5" s="2">
        <v>2</v>
      </c>
      <c r="D5" s="4">
        <v>-0.25</v>
      </c>
      <c r="E5" s="4">
        <v>-28.27</v>
      </c>
      <c r="F5" s="4">
        <f t="shared" ref="F5:F13" si="0">D5/C$18*C$17</f>
        <v>-28.6304430137743</v>
      </c>
      <c r="G5" s="4">
        <f t="shared" ref="G5:G13" si="1">(E5-F5)/F5*100</f>
        <v>-1.25895017971224</v>
      </c>
    </row>
    <row r="6" spans="3:7">
      <c r="C6" s="2">
        <v>3</v>
      </c>
      <c r="D6" s="4">
        <v>0.2</v>
      </c>
      <c r="E6" s="4">
        <v>23.13</v>
      </c>
      <c r="F6" s="4">
        <f t="shared" si="0"/>
        <v>22.9043544110195</v>
      </c>
      <c r="G6" s="4">
        <f t="shared" si="1"/>
        <v>0.985164588930658</v>
      </c>
    </row>
    <row r="7" spans="3:7">
      <c r="C7" s="2">
        <v>4</v>
      </c>
      <c r="D7" s="4">
        <v>-0.2</v>
      </c>
      <c r="E7" s="4">
        <v>-22.74</v>
      </c>
      <c r="F7" s="4">
        <f t="shared" si="0"/>
        <v>-22.9043544110195</v>
      </c>
      <c r="G7" s="4">
        <f t="shared" si="1"/>
        <v>-0.717568406732248</v>
      </c>
    </row>
    <row r="8" spans="3:7">
      <c r="C8" s="2">
        <v>5</v>
      </c>
      <c r="D8" s="4">
        <v>0.15</v>
      </c>
      <c r="E8" s="4">
        <v>17.36</v>
      </c>
      <c r="F8" s="4">
        <f t="shared" si="0"/>
        <v>17.1782658082646</v>
      </c>
      <c r="G8" s="4">
        <f t="shared" si="1"/>
        <v>1.0579309562667</v>
      </c>
    </row>
    <row r="9" spans="3:7">
      <c r="C9" s="2">
        <v>6</v>
      </c>
      <c r="D9" s="4">
        <v>-0.15</v>
      </c>
      <c r="E9" s="4">
        <v>-16.3</v>
      </c>
      <c r="F9" s="4">
        <f t="shared" si="0"/>
        <v>-17.1782658082646</v>
      </c>
      <c r="G9" s="4">
        <f t="shared" si="1"/>
        <v>-5.11265699382792</v>
      </c>
    </row>
    <row r="10" spans="3:7">
      <c r="C10" s="2">
        <v>7</v>
      </c>
      <c r="D10" s="4">
        <v>0.1</v>
      </c>
      <c r="E10" s="4">
        <v>10.86</v>
      </c>
      <c r="F10" s="4">
        <f t="shared" si="0"/>
        <v>11.4521772055097</v>
      </c>
      <c r="G10" s="4">
        <f t="shared" si="1"/>
        <v>-5.17087008769676</v>
      </c>
    </row>
    <row r="11" spans="3:7">
      <c r="C11" s="2">
        <v>8</v>
      </c>
      <c r="D11" s="4">
        <v>-0.1</v>
      </c>
      <c r="E11" s="4">
        <v>-10.86</v>
      </c>
      <c r="F11" s="4">
        <f t="shared" si="0"/>
        <v>-11.4521772055097</v>
      </c>
      <c r="G11" s="4">
        <f t="shared" si="1"/>
        <v>-5.17087008769676</v>
      </c>
    </row>
    <row r="12" spans="3:7">
      <c r="C12" s="2">
        <v>9</v>
      </c>
      <c r="D12" s="4">
        <v>0.05</v>
      </c>
      <c r="E12" s="4">
        <v>6.09</v>
      </c>
      <c r="F12" s="4">
        <f t="shared" si="0"/>
        <v>5.72608860275486</v>
      </c>
      <c r="G12" s="4">
        <f t="shared" si="1"/>
        <v>6.35532249832905</v>
      </c>
    </row>
    <row r="13" spans="3:7">
      <c r="C13" s="2">
        <v>10</v>
      </c>
      <c r="D13" s="4">
        <v>-0.05</v>
      </c>
      <c r="E13" s="4">
        <v>-5.28</v>
      </c>
      <c r="F13" s="4">
        <f t="shared" si="0"/>
        <v>-5.72608860275486</v>
      </c>
      <c r="G13" s="4">
        <f t="shared" si="1"/>
        <v>-7.79045931179353</v>
      </c>
    </row>
    <row r="15" spans="3:4">
      <c r="C15">
        <f>1+C16/273.16</f>
        <v>1.09884316883878</v>
      </c>
      <c r="D15">
        <f>SQRT(C15)</f>
        <v>1.04825720547906</v>
      </c>
    </row>
    <row r="16" spans="2:3">
      <c r="B16" t="s">
        <v>6</v>
      </c>
      <c r="C16">
        <v>27</v>
      </c>
    </row>
    <row r="17" spans="2:3">
      <c r="B17" t="s">
        <v>7</v>
      </c>
      <c r="C17">
        <v>39790</v>
      </c>
    </row>
    <row r="18" spans="2:3">
      <c r="B18" t="s">
        <v>8</v>
      </c>
      <c r="C18">
        <f>331.45*D15</f>
        <v>347.444850756036</v>
      </c>
    </row>
  </sheetData>
  <mergeCells count="1">
    <mergeCell ref="C2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workbookViewId="0">
      <selection activeCell="A1" sqref="$A1:$XFD1048576"/>
    </sheetView>
  </sheetViews>
  <sheetFormatPr defaultColWidth="9" defaultRowHeight="14.4" outlineLevelCol="6"/>
  <cols>
    <col min="1" max="2" width="4.66666666666667" customWidth="1"/>
    <col min="3" max="3" width="12.8888888888889" customWidth="1"/>
    <col min="4" max="4" width="26.5555555555556" customWidth="1"/>
    <col min="5" max="6" width="30.6666666666667" customWidth="1"/>
    <col min="7" max="7" width="22" customWidth="1"/>
  </cols>
  <sheetData>
    <row r="2" spans="3:7">
      <c r="C2" s="1" t="s">
        <v>9</v>
      </c>
      <c r="D2" s="1"/>
      <c r="E2" s="1"/>
      <c r="F2" s="1"/>
      <c r="G2" s="1"/>
    </row>
    <row r="3" spans="3:7">
      <c r="C3" s="2" t="s">
        <v>1</v>
      </c>
      <c r="D3" s="2" t="s">
        <v>2</v>
      </c>
      <c r="E3" s="3" t="s">
        <v>3</v>
      </c>
      <c r="F3" s="3" t="s">
        <v>4</v>
      </c>
      <c r="G3" s="2" t="s">
        <v>5</v>
      </c>
    </row>
    <row r="4" spans="3:7">
      <c r="C4" s="2">
        <v>1</v>
      </c>
      <c r="D4" s="4">
        <v>0.25</v>
      </c>
      <c r="E4" s="4">
        <v>28.71</v>
      </c>
      <c r="F4" s="4">
        <f t="shared" ref="F4:F13" si="0">D4/C$18*C$17</f>
        <v>28.2714791135758</v>
      </c>
      <c r="G4" s="4">
        <f t="shared" ref="G4:G13" si="1">(E4-F4)/F4*100</f>
        <v>1.55110698192538</v>
      </c>
    </row>
    <row r="5" spans="3:7">
      <c r="C5" s="2">
        <v>2</v>
      </c>
      <c r="D5" s="4">
        <v>-0.25</v>
      </c>
      <c r="E5" s="4">
        <v>-26.8</v>
      </c>
      <c r="F5" s="4">
        <f t="shared" si="0"/>
        <v>-28.2714791135758</v>
      </c>
      <c r="G5" s="4">
        <f t="shared" si="1"/>
        <v>-5.20481828228491</v>
      </c>
    </row>
    <row r="6" spans="3:7">
      <c r="C6" s="2">
        <v>3</v>
      </c>
      <c r="D6" s="4">
        <v>0.2</v>
      </c>
      <c r="E6" s="4">
        <v>23.58</v>
      </c>
      <c r="F6" s="4">
        <f t="shared" si="0"/>
        <v>22.6171832908606</v>
      </c>
      <c r="G6" s="4">
        <f t="shared" si="1"/>
        <v>4.25701422125567</v>
      </c>
    </row>
    <row r="7" spans="3:7">
      <c r="C7" s="2">
        <v>4</v>
      </c>
      <c r="D7" s="4">
        <v>-0.2</v>
      </c>
      <c r="E7" s="4">
        <v>-21.62</v>
      </c>
      <c r="F7" s="4">
        <f t="shared" si="0"/>
        <v>-22.6171832908606</v>
      </c>
      <c r="G7" s="4">
        <f t="shared" si="1"/>
        <v>-4.40896321189365</v>
      </c>
    </row>
    <row r="8" spans="3:7">
      <c r="C8" s="2">
        <v>5</v>
      </c>
      <c r="D8" s="4">
        <v>0.15</v>
      </c>
      <c r="E8" s="4">
        <v>16.61</v>
      </c>
      <c r="F8" s="4">
        <f t="shared" si="0"/>
        <v>16.9628874681454</v>
      </c>
      <c r="G8" s="4">
        <f t="shared" si="1"/>
        <v>-2.08035022815624</v>
      </c>
    </row>
    <row r="9" spans="3:7">
      <c r="C9" s="2">
        <v>6</v>
      </c>
      <c r="D9" s="4">
        <v>-0.15</v>
      </c>
      <c r="E9" s="4">
        <v>-16.08</v>
      </c>
      <c r="F9" s="4">
        <f t="shared" si="0"/>
        <v>-16.9628874681454</v>
      </c>
      <c r="G9" s="4">
        <f t="shared" si="1"/>
        <v>-5.20481828228492</v>
      </c>
    </row>
    <row r="10" spans="3:7">
      <c r="C10" s="2">
        <v>7</v>
      </c>
      <c r="D10" s="4">
        <v>0.1</v>
      </c>
      <c r="E10" s="4">
        <v>11.34</v>
      </c>
      <c r="F10" s="4">
        <f t="shared" si="0"/>
        <v>11.3085916454303</v>
      </c>
      <c r="G10" s="4">
        <f t="shared" si="1"/>
        <v>0.277738869299349</v>
      </c>
    </row>
    <row r="11" spans="3:7">
      <c r="C11" s="2">
        <v>8</v>
      </c>
      <c r="D11" s="4">
        <v>-0.1</v>
      </c>
      <c r="E11" s="4">
        <v>-11.06</v>
      </c>
      <c r="F11" s="4">
        <f t="shared" si="0"/>
        <v>-11.3085916454303</v>
      </c>
      <c r="G11" s="4">
        <f t="shared" si="1"/>
        <v>-2.19825468302902</v>
      </c>
    </row>
    <row r="12" spans="3:7">
      <c r="C12" s="2">
        <v>9</v>
      </c>
      <c r="D12" s="4">
        <v>0.05</v>
      </c>
      <c r="E12" s="4">
        <v>5.42</v>
      </c>
      <c r="F12" s="4">
        <f t="shared" si="0"/>
        <v>5.65429582271515</v>
      </c>
      <c r="G12" s="4">
        <f t="shared" si="1"/>
        <v>-4.1436781884299</v>
      </c>
    </row>
    <row r="13" spans="3:7">
      <c r="C13" s="2">
        <v>10</v>
      </c>
      <c r="D13" s="4">
        <v>-0.05</v>
      </c>
      <c r="E13" s="4">
        <v>-5.36</v>
      </c>
      <c r="F13" s="4">
        <f t="shared" si="0"/>
        <v>-5.65429582271515</v>
      </c>
      <c r="G13" s="4">
        <f t="shared" si="1"/>
        <v>-5.20481828228491</v>
      </c>
    </row>
    <row r="15" customFormat="1" spans="3:4">
      <c r="C15">
        <f>1+C16/273.16</f>
        <v>1.0915214526285</v>
      </c>
      <c r="D15">
        <f>SQRT(C15)</f>
        <v>1.04475904046268</v>
      </c>
    </row>
    <row r="16" customFormat="1" spans="2:3">
      <c r="B16" t="s">
        <v>6</v>
      </c>
      <c r="C16">
        <v>25</v>
      </c>
    </row>
    <row r="17" customFormat="1" spans="2:3">
      <c r="B17" t="s">
        <v>7</v>
      </c>
      <c r="C17">
        <v>39160</v>
      </c>
    </row>
    <row r="18" customFormat="1" spans="2:3">
      <c r="B18" t="s">
        <v>8</v>
      </c>
      <c r="C18">
        <f>331.45*D15</f>
        <v>346.285383961355</v>
      </c>
    </row>
  </sheetData>
  <mergeCells count="1">
    <mergeCell ref="C2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6"/>
  <sheetViews>
    <sheetView workbookViewId="0">
      <selection activeCell="F24" sqref="F24"/>
    </sheetView>
  </sheetViews>
  <sheetFormatPr defaultColWidth="9" defaultRowHeight="14.4" outlineLevelCol="6"/>
  <cols>
    <col min="1" max="2" width="4.66666666666667" customWidth="1"/>
    <col min="3" max="3" width="12.8888888888889" customWidth="1"/>
    <col min="4" max="4" width="26.5555555555556" customWidth="1"/>
    <col min="5" max="6" width="30.6666666666667" customWidth="1"/>
    <col min="7" max="7" width="22" customWidth="1"/>
  </cols>
  <sheetData>
    <row r="2" spans="3:7">
      <c r="C2" s="1" t="s">
        <v>0</v>
      </c>
      <c r="D2" s="1"/>
      <c r="E2" s="1"/>
      <c r="F2" s="1"/>
      <c r="G2" s="1"/>
    </row>
    <row r="3" spans="3:7">
      <c r="C3" s="2" t="s">
        <v>1</v>
      </c>
      <c r="D3" s="2" t="s">
        <v>2</v>
      </c>
      <c r="E3" s="3" t="s">
        <v>3</v>
      </c>
      <c r="F3" s="3" t="s">
        <v>4</v>
      </c>
      <c r="G3" s="2" t="s">
        <v>5</v>
      </c>
    </row>
    <row r="4" spans="3:7">
      <c r="C4" s="2">
        <v>1</v>
      </c>
      <c r="D4" s="2">
        <v>0.05</v>
      </c>
      <c r="E4" s="4">
        <v>6.15</v>
      </c>
      <c r="F4" s="4">
        <f t="shared" ref="F4:F13" si="0">D4/C$26*C$25</f>
        <v>5.70508048742289</v>
      </c>
      <c r="G4" s="4">
        <f t="shared" ref="G4:G13" si="1">(E4-F4)/F4*100</f>
        <v>7.79865443718034</v>
      </c>
    </row>
    <row r="5" spans="3:7">
      <c r="C5" s="2">
        <v>2</v>
      </c>
      <c r="D5" s="2">
        <v>-0.05</v>
      </c>
      <c r="E5" s="4">
        <v>-5.49</v>
      </c>
      <c r="F5" s="4">
        <f t="shared" si="0"/>
        <v>-5.70508048742289</v>
      </c>
      <c r="G5" s="4">
        <f t="shared" si="1"/>
        <v>-3.76998164876097</v>
      </c>
    </row>
    <row r="6" spans="3:7">
      <c r="C6" s="2">
        <v>3</v>
      </c>
      <c r="D6" s="2">
        <v>0.1</v>
      </c>
      <c r="E6" s="4">
        <v>10.44</v>
      </c>
      <c r="F6" s="4">
        <f t="shared" si="0"/>
        <v>11.4101609748458</v>
      </c>
      <c r="G6" s="4">
        <f t="shared" si="1"/>
        <v>-8.5026055021006</v>
      </c>
    </row>
    <row r="7" spans="3:7">
      <c r="C7" s="2">
        <v>4</v>
      </c>
      <c r="D7" s="2">
        <v>-0.1</v>
      </c>
      <c r="E7" s="4">
        <v>-11.46</v>
      </c>
      <c r="F7" s="4">
        <f t="shared" si="0"/>
        <v>-11.4101609748458</v>
      </c>
      <c r="G7" s="4">
        <f t="shared" si="1"/>
        <v>0.436795109763147</v>
      </c>
    </row>
    <row r="8" spans="3:7">
      <c r="C8" s="2">
        <v>5</v>
      </c>
      <c r="D8" s="2">
        <v>0.15</v>
      </c>
      <c r="E8" s="4">
        <v>16.53</v>
      </c>
      <c r="F8" s="4">
        <f t="shared" si="0"/>
        <v>17.1152414622687</v>
      </c>
      <c r="G8" s="4">
        <f t="shared" si="1"/>
        <v>-3.41941691888393</v>
      </c>
    </row>
    <row r="9" spans="3:7">
      <c r="C9" s="2">
        <v>6</v>
      </c>
      <c r="D9" s="2">
        <v>-0.15</v>
      </c>
      <c r="E9" s="4">
        <v>-16.59</v>
      </c>
      <c r="F9" s="4">
        <f t="shared" si="0"/>
        <v>-17.1152414622687</v>
      </c>
      <c r="G9" s="4">
        <f t="shared" si="1"/>
        <v>-3.06885218900693</v>
      </c>
    </row>
    <row r="10" spans="3:7">
      <c r="C10" s="2">
        <v>7</v>
      </c>
      <c r="D10" s="2">
        <v>0.2</v>
      </c>
      <c r="E10" s="4">
        <v>26.15</v>
      </c>
      <c r="F10" s="4">
        <f t="shared" si="0"/>
        <v>22.8203219496915</v>
      </c>
      <c r="G10" s="4">
        <f t="shared" si="1"/>
        <v>14.5908460785474</v>
      </c>
    </row>
    <row r="11" spans="3:7">
      <c r="C11" s="2">
        <v>8</v>
      </c>
      <c r="D11" s="2">
        <v>-0.2</v>
      </c>
      <c r="E11" s="4">
        <v>-23.04</v>
      </c>
      <c r="F11" s="4">
        <f t="shared" si="0"/>
        <v>-22.8203219496915</v>
      </c>
      <c r="G11" s="4">
        <f t="shared" si="1"/>
        <v>0.96264220457865</v>
      </c>
    </row>
    <row r="12" spans="3:7">
      <c r="C12" s="2">
        <v>9</v>
      </c>
      <c r="D12" s="2">
        <v>0.25</v>
      </c>
      <c r="E12" s="4">
        <v>28.24</v>
      </c>
      <c r="F12" s="4">
        <f t="shared" si="0"/>
        <v>28.5254024371144</v>
      </c>
      <c r="G12" s="4">
        <f t="shared" si="1"/>
        <v>-1.00052028273259</v>
      </c>
    </row>
    <row r="13" spans="3:7">
      <c r="C13" s="2">
        <v>10</v>
      </c>
      <c r="D13" s="2">
        <v>-0.25</v>
      </c>
      <c r="E13" s="4">
        <v>-29.3</v>
      </c>
      <c r="F13" s="4">
        <f t="shared" si="0"/>
        <v>-28.5254024371144</v>
      </c>
      <c r="G13" s="4">
        <f t="shared" si="1"/>
        <v>2.71546585396371</v>
      </c>
    </row>
    <row r="14" customFormat="1" spans="3:7">
      <c r="C14" s="2">
        <v>11</v>
      </c>
      <c r="D14" s="2">
        <v>0.3</v>
      </c>
      <c r="E14" s="2">
        <v>33.99</v>
      </c>
      <c r="F14" s="4">
        <f t="shared" ref="F14:F19" si="2">D14/C$26*C$25</f>
        <v>34.2304829245373</v>
      </c>
      <c r="G14" s="4">
        <f t="shared" ref="G14:G19" si="3">(E14-F14)/F14*100</f>
        <v>-0.702540262337109</v>
      </c>
    </row>
    <row r="15" customFormat="1" spans="3:7">
      <c r="C15" s="2">
        <v>12</v>
      </c>
      <c r="D15" s="2">
        <v>-0.3</v>
      </c>
      <c r="E15" s="2">
        <v>-33.17</v>
      </c>
      <c r="F15" s="4">
        <f t="shared" si="2"/>
        <v>-34.2304829245373</v>
      </c>
      <c r="G15" s="4">
        <f t="shared" si="3"/>
        <v>-3.09806591649667</v>
      </c>
    </row>
    <row r="16" customFormat="1" spans="3:7">
      <c r="C16" s="2">
        <v>13</v>
      </c>
      <c r="D16" s="2">
        <v>0.35</v>
      </c>
      <c r="E16" s="2">
        <v>40.21</v>
      </c>
      <c r="F16" s="4">
        <f t="shared" si="2"/>
        <v>39.9355634119602</v>
      </c>
      <c r="G16" s="4">
        <f t="shared" si="3"/>
        <v>0.687198488246749</v>
      </c>
    </row>
    <row r="17" customFormat="1" spans="3:7">
      <c r="C17" s="2">
        <v>14</v>
      </c>
      <c r="D17" s="2">
        <v>-0.35</v>
      </c>
      <c r="E17" s="2">
        <v>-39.84</v>
      </c>
      <c r="F17" s="4">
        <f t="shared" si="2"/>
        <v>-39.9355634119602</v>
      </c>
      <c r="G17" s="4">
        <f t="shared" si="3"/>
        <v>-0.239294012142484</v>
      </c>
    </row>
    <row r="18" customFormat="1" spans="3:7">
      <c r="C18" s="2">
        <v>15</v>
      </c>
      <c r="D18" s="2">
        <v>0.4</v>
      </c>
      <c r="E18" s="2">
        <v>43.03</v>
      </c>
      <c r="F18" s="4">
        <f t="shared" si="2"/>
        <v>45.6406438993831</v>
      </c>
      <c r="G18" s="4">
        <f t="shared" si="3"/>
        <v>-5.71999795870183</v>
      </c>
    </row>
    <row r="19" spans="3:7">
      <c r="C19" s="2">
        <v>16</v>
      </c>
      <c r="D19" s="2">
        <v>-0.4</v>
      </c>
      <c r="E19" s="4">
        <v>-45</v>
      </c>
      <c r="F19" s="4">
        <f t="shared" si="2"/>
        <v>-45.6406438993831</v>
      </c>
      <c r="G19" s="4">
        <f t="shared" si="3"/>
        <v>-1.40366972209116</v>
      </c>
    </row>
    <row r="21" spans="6:6">
      <c r="F21">
        <f>D21:D36*114.1018</f>
        <v>0</v>
      </c>
    </row>
    <row r="23" spans="3:4">
      <c r="C23">
        <f>1+C24/273.16</f>
        <v>1.10250402694392</v>
      </c>
      <c r="D23">
        <f>SQRT(C23)</f>
        <v>1.05000191759059</v>
      </c>
    </row>
    <row r="24" spans="2:3">
      <c r="B24" t="s">
        <v>6</v>
      </c>
      <c r="C24">
        <v>28</v>
      </c>
    </row>
    <row r="25" spans="2:3">
      <c r="B25" t="s">
        <v>7</v>
      </c>
      <c r="C25">
        <v>39710</v>
      </c>
    </row>
    <row r="26" spans="2:3">
      <c r="B26" t="s">
        <v>8</v>
      </c>
      <c r="C26">
        <f>331.45*(D23)</f>
        <v>348.023135585401</v>
      </c>
    </row>
  </sheetData>
  <mergeCells count="1">
    <mergeCell ref="C2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柳希直</vt:lpstr>
      <vt:lpstr>邓杰湧</vt:lpstr>
      <vt:lpstr>尹衍哲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</dc:creator>
  <cp:lastModifiedBy>柳希直</cp:lastModifiedBy>
  <dcterms:created xsi:type="dcterms:W3CDTF">2024-09-29T06:13:00Z</dcterms:created>
  <dcterms:modified xsi:type="dcterms:W3CDTF">2024-09-29T07:36:43Z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B9D71754381942CFA95CD400AF272200</vt:lpwstr>
  </property>
  <property fmtid="{D5CDD505-2E9C-101B-9397-08002B2CF9AE}" pid="3" name="KSOProductBuildVer">
    <vt:lpwstr>2052-11.1.0.12165</vt:lpwstr>
  </property>
</Properties>
</file>