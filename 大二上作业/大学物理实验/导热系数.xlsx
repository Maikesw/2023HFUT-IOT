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C:\Users\邓傑湧\Desktop\大二上作业\大学物理实验\"/>
    </mc:Choice>
  </mc:AlternateContent>
  <xr:revisionPtr revIDLastSave="0" documentId="13_ncr:1_{8D34FAA9-5C06-409C-9C00-E3758535CE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1" i="1" l="1"/>
  <c r="H10" i="1"/>
  <c r="H11" i="1"/>
  <c r="E6" i="1"/>
  <c r="F6" i="1"/>
  <c r="G6" i="1"/>
  <c r="H6" i="1"/>
  <c r="I6" i="1"/>
  <c r="J6" i="1"/>
  <c r="K6" i="1"/>
  <c r="L6" i="1"/>
  <c r="M6" i="1"/>
  <c r="D6" i="1"/>
</calcChain>
</file>

<file path=xl/sharedStrings.xml><?xml version="1.0" encoding="utf-8"?>
<sst xmlns="http://schemas.openxmlformats.org/spreadsheetml/2006/main" count="20" uniqueCount="18">
  <si>
    <t>次数</t>
    <phoneticPr fontId="1" type="noConversion"/>
  </si>
  <si>
    <t>平均值</t>
    <phoneticPr fontId="1" type="noConversion"/>
  </si>
  <si>
    <t>E21</t>
    <phoneticPr fontId="1" type="noConversion"/>
  </si>
  <si>
    <t>E22</t>
    <phoneticPr fontId="1" type="noConversion"/>
  </si>
  <si>
    <t>E23</t>
    <phoneticPr fontId="1" type="noConversion"/>
  </si>
  <si>
    <t>E24</t>
    <phoneticPr fontId="1" type="noConversion"/>
  </si>
  <si>
    <t>E25</t>
    <phoneticPr fontId="1" type="noConversion"/>
  </si>
  <si>
    <t>E26</t>
    <phoneticPr fontId="1" type="noConversion"/>
  </si>
  <si>
    <t>E27</t>
    <phoneticPr fontId="1" type="noConversion"/>
  </si>
  <si>
    <t>E28</t>
    <phoneticPr fontId="1" type="noConversion"/>
  </si>
  <si>
    <t>DB(mm)</t>
    <phoneticPr fontId="1" type="noConversion"/>
  </si>
  <si>
    <t>hB(mm)</t>
    <phoneticPr fontId="1" type="noConversion"/>
  </si>
  <si>
    <t>Rc(mm)</t>
    <phoneticPr fontId="1" type="noConversion"/>
  </si>
  <si>
    <t>hc(mm)</t>
    <phoneticPr fontId="1" type="noConversion"/>
  </si>
  <si>
    <t>m(g)</t>
    <phoneticPr fontId="1" type="noConversion"/>
  </si>
  <si>
    <t>E2(mv)</t>
    <phoneticPr fontId="1" type="noConversion"/>
  </si>
  <si>
    <t>t(s)</t>
    <phoneticPr fontId="1" type="noConversion"/>
  </si>
  <si>
    <t>E1(mv)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</si>
</sst>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0_);[Red]\(0.00\)"/>
  </numFmts>
  <fonts count="4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1" xfId="0" applyFont="1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78" fontId="0" fillId="0" borderId="1" xfId="0" applyNumberFormat="1" applyBorder="1">
      <alignment vertical="center"/>
    </xf>
    <xf numFmtId="178" fontId="0" fillId="0" borderId="1" xfId="0" applyNumberFormat="1" applyFill="1" applyBorder="1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121920</xdr:colOff>
      <xdr:row>20</xdr:row>
      <xdr:rowOff>38100</xdr:rowOff>
    </xdr:from>
    <xdr:ext cx="207236" cy="32137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文本框 1">
              <a:extLst>
                <a:ext uri="{FF2B5EF4-FFF2-40B4-BE49-F238E27FC236}">
                  <a16:creationId xmlns:a16="http://schemas.microsoft.com/office/drawing/2014/main" id="{37D40A88-36ED-BD12-006D-29C0EEAC13F8}"/>
                </a:ext>
              </a:extLst>
            </xdr:cNvPr>
            <xdr:cNvSpPr txBox="1"/>
          </xdr:nvSpPr>
          <xdr:spPr>
            <a:xfrm>
              <a:off x="739140" y="3695700"/>
              <a:ext cx="207236" cy="3213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altLang="zh-CN" sz="1100" i="1" kern="120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altLang="zh-CN" sz="1100" i="1" kern="1200">
                            <a:latin typeface="Cambria Math" panose="02040503050406030204" pitchFamily="18" charset="0"/>
                          </a:rPr>
                          <m:t>𝑑</m:t>
                        </m:r>
                        <m:r>
                          <a:rPr lang="en-US" altLang="zh-CN" sz="1100" b="0" i="1" kern="1200">
                            <a:latin typeface="Cambria Math" panose="02040503050406030204" pitchFamily="18" charset="0"/>
                          </a:rPr>
                          <m:t>𝐸</m:t>
                        </m:r>
                      </m:num>
                      <m:den>
                        <m:r>
                          <a:rPr lang="en-US" altLang="zh-CN" sz="1100" i="1" kern="1200">
                            <a:latin typeface="Cambria Math" panose="02040503050406030204" pitchFamily="18" charset="0"/>
                          </a:rPr>
                          <m:t>𝑑</m:t>
                        </m:r>
                        <m:r>
                          <a:rPr lang="en-US" altLang="zh-CN" sz="1100" b="0" i="1" kern="1200">
                            <a:latin typeface="Cambria Math" panose="02040503050406030204" pitchFamily="18" charset="0"/>
                          </a:rPr>
                          <m:t>𝑡</m:t>
                        </m:r>
                      </m:den>
                    </m:f>
                  </m:oMath>
                </m:oMathPara>
              </a14:m>
              <a:endParaRPr lang="zh-CN" altLang="en-US" sz="1100" kern="1200"/>
            </a:p>
          </xdr:txBody>
        </xdr:sp>
      </mc:Choice>
      <mc:Fallback>
        <xdr:sp macro="" textlink="">
          <xdr:nvSpPr>
            <xdr:cNvPr id="2" name="文本框 1">
              <a:extLst>
                <a:ext uri="{FF2B5EF4-FFF2-40B4-BE49-F238E27FC236}">
                  <a16:creationId xmlns:a16="http://schemas.microsoft.com/office/drawing/2014/main" id="{37D40A88-36ED-BD12-006D-29C0EEAC13F8}"/>
                </a:ext>
              </a:extLst>
            </xdr:cNvPr>
            <xdr:cNvSpPr txBox="1"/>
          </xdr:nvSpPr>
          <xdr:spPr>
            <a:xfrm>
              <a:off x="739140" y="3695700"/>
              <a:ext cx="207236" cy="3213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CN" sz="1100" i="0" kern="1200">
                  <a:latin typeface="Cambria Math" panose="02040503050406030204" pitchFamily="18" charset="0"/>
                </a:rPr>
                <a:t>𝑑</a:t>
              </a:r>
              <a:r>
                <a:rPr lang="en-US" altLang="zh-CN" sz="1100" b="0" i="0" kern="1200">
                  <a:latin typeface="Cambria Math" panose="02040503050406030204" pitchFamily="18" charset="0"/>
                </a:rPr>
                <a:t>𝐸/</a:t>
              </a:r>
              <a:r>
                <a:rPr lang="en-US" altLang="zh-CN" sz="1100" i="0" kern="1200">
                  <a:latin typeface="Cambria Math" panose="02040503050406030204" pitchFamily="18" charset="0"/>
                </a:rPr>
                <a:t>𝑑</a:t>
              </a:r>
              <a:r>
                <a:rPr lang="en-US" altLang="zh-CN" sz="1100" b="0" i="0" kern="1200">
                  <a:latin typeface="Cambria Math" panose="02040503050406030204" pitchFamily="18" charset="0"/>
                </a:rPr>
                <a:t>𝑡</a:t>
              </a:r>
              <a:endParaRPr lang="zh-CN" altLang="en-US" sz="1100" kern="12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22"/>
  <sheetViews>
    <sheetView tabSelected="1" workbookViewId="0">
      <selection activeCell="D21" sqref="D21"/>
    </sheetView>
  </sheetViews>
  <sheetFormatPr defaultColWidth="9" defaultRowHeight="14.4" x14ac:dyDescent="0.25"/>
  <sheetData>
    <row r="2" spans="2:16" x14ac:dyDescent="0.25">
      <c r="B2" s="2" t="s">
        <v>17</v>
      </c>
      <c r="C2" s="8">
        <v>4</v>
      </c>
      <c r="D2" s="8">
        <v>3.91</v>
      </c>
      <c r="E2" s="8">
        <v>3.83</v>
      </c>
      <c r="F2" s="8">
        <v>3.75</v>
      </c>
      <c r="G2" s="8">
        <v>3.68</v>
      </c>
      <c r="H2" s="8">
        <v>3.64</v>
      </c>
      <c r="I2" s="8">
        <v>3.6</v>
      </c>
      <c r="J2" s="8">
        <v>3.58</v>
      </c>
      <c r="K2" s="8">
        <v>3.56</v>
      </c>
      <c r="L2" s="8">
        <v>3.55</v>
      </c>
      <c r="M2" s="8">
        <v>3.54</v>
      </c>
      <c r="N2" s="9">
        <v>3.53</v>
      </c>
      <c r="O2" s="1">
        <v>3.53</v>
      </c>
      <c r="P2" s="1">
        <v>3.52</v>
      </c>
    </row>
    <row r="3" spans="2:16" x14ac:dyDescent="0.25">
      <c r="B3" s="2" t="s">
        <v>15</v>
      </c>
      <c r="C3" s="8">
        <v>1.96</v>
      </c>
      <c r="D3" s="8">
        <v>2.09</v>
      </c>
      <c r="E3" s="8">
        <v>2.2000000000000002</v>
      </c>
      <c r="F3" s="8">
        <v>2.29</v>
      </c>
      <c r="G3" s="8">
        <v>2.36</v>
      </c>
      <c r="H3" s="8">
        <v>2.4</v>
      </c>
      <c r="I3" s="8">
        <v>2.44</v>
      </c>
      <c r="J3" s="8">
        <v>2.4700000000000002</v>
      </c>
      <c r="K3" s="8">
        <v>2.48</v>
      </c>
      <c r="L3" s="8">
        <v>2.4900000000000002</v>
      </c>
      <c r="M3" s="8">
        <v>2.5</v>
      </c>
      <c r="N3" s="9">
        <v>2.5099999999999998</v>
      </c>
      <c r="O3" s="1">
        <v>2.52</v>
      </c>
      <c r="P3" s="1">
        <v>2.52</v>
      </c>
    </row>
    <row r="6" spans="2:16" x14ac:dyDescent="0.25">
      <c r="B6" s="2" t="s">
        <v>16</v>
      </c>
      <c r="C6" s="8">
        <v>0</v>
      </c>
      <c r="D6" s="8">
        <f>C6+30</f>
        <v>30</v>
      </c>
      <c r="E6" s="8">
        <f t="shared" ref="E6:M6" si="0">D6+30</f>
        <v>60</v>
      </c>
      <c r="F6" s="8">
        <f t="shared" si="0"/>
        <v>90</v>
      </c>
      <c r="G6" s="8">
        <f t="shared" si="0"/>
        <v>120</v>
      </c>
      <c r="H6" s="8">
        <f t="shared" si="0"/>
        <v>150</v>
      </c>
      <c r="I6" s="8">
        <f t="shared" si="0"/>
        <v>180</v>
      </c>
      <c r="J6" s="8">
        <f t="shared" si="0"/>
        <v>210</v>
      </c>
      <c r="K6" s="8">
        <f t="shared" si="0"/>
        <v>240</v>
      </c>
      <c r="L6" s="8">
        <f t="shared" si="0"/>
        <v>270</v>
      </c>
      <c r="M6" s="8">
        <f t="shared" si="0"/>
        <v>300</v>
      </c>
      <c r="N6" s="1">
        <v>330</v>
      </c>
    </row>
    <row r="7" spans="2:16" x14ac:dyDescent="0.25">
      <c r="B7" s="2" t="s">
        <v>15</v>
      </c>
      <c r="C7" s="8">
        <v>2.92</v>
      </c>
      <c r="D7" s="8">
        <v>2.86</v>
      </c>
      <c r="E7" s="8">
        <v>2.81</v>
      </c>
      <c r="F7" s="8">
        <v>2.75</v>
      </c>
      <c r="G7" s="8">
        <v>2.69</v>
      </c>
      <c r="H7" s="8">
        <v>2.63</v>
      </c>
      <c r="I7" s="8">
        <v>2.58</v>
      </c>
      <c r="J7" s="8">
        <v>2.5299999999999998</v>
      </c>
      <c r="K7" s="8">
        <v>2.4700000000000002</v>
      </c>
      <c r="L7" s="8">
        <v>2.42</v>
      </c>
      <c r="M7" s="8">
        <v>2.37</v>
      </c>
      <c r="N7" s="9">
        <v>2.33</v>
      </c>
    </row>
    <row r="9" spans="2:16" x14ac:dyDescent="0.25">
      <c r="B9" s="2" t="s">
        <v>0</v>
      </c>
      <c r="C9" s="1">
        <v>1</v>
      </c>
      <c r="D9" s="1">
        <v>2</v>
      </c>
      <c r="E9" s="1">
        <v>3</v>
      </c>
      <c r="F9" s="1">
        <v>4</v>
      </c>
      <c r="G9" s="1">
        <v>5</v>
      </c>
      <c r="H9" s="2" t="s">
        <v>1</v>
      </c>
    </row>
    <row r="10" spans="2:16" x14ac:dyDescent="0.25">
      <c r="B10" s="2" t="s">
        <v>10</v>
      </c>
      <c r="C10" s="1">
        <v>129.52000000000001</v>
      </c>
      <c r="D10" s="1">
        <v>129.56</v>
      </c>
      <c r="E10" s="1">
        <v>129.54</v>
      </c>
      <c r="F10" s="1">
        <v>129.54</v>
      </c>
      <c r="G10" s="1">
        <v>129.56</v>
      </c>
      <c r="H10" s="1">
        <f>AVERAGE(C10:G10)</f>
        <v>129.54400000000001</v>
      </c>
    </row>
    <row r="11" spans="2:16" x14ac:dyDescent="0.25">
      <c r="B11" s="2" t="s">
        <v>11</v>
      </c>
      <c r="C11" s="1">
        <v>8.0399999999999991</v>
      </c>
      <c r="D11" s="1">
        <v>8.02</v>
      </c>
      <c r="E11" s="1">
        <v>8.02</v>
      </c>
      <c r="F11" s="1">
        <v>8.02</v>
      </c>
      <c r="G11" s="1">
        <v>8.0399999999999991</v>
      </c>
      <c r="H11" s="1">
        <f>AVERAGE(C11:G11)</f>
        <v>8.0279999999999987</v>
      </c>
    </row>
    <row r="12" spans="2:16" x14ac:dyDescent="0.25">
      <c r="B12" s="2" t="s">
        <v>12</v>
      </c>
      <c r="C12" s="3">
        <v>65.010000000000005</v>
      </c>
      <c r="D12" s="4"/>
      <c r="E12" s="4"/>
      <c r="F12" s="4"/>
      <c r="G12" s="4"/>
      <c r="H12" s="5"/>
    </row>
    <row r="13" spans="2:16" x14ac:dyDescent="0.25">
      <c r="B13" s="2" t="s">
        <v>13</v>
      </c>
      <c r="C13" s="3">
        <v>7.06</v>
      </c>
      <c r="D13" s="4"/>
      <c r="E13" s="4"/>
      <c r="F13" s="4"/>
      <c r="G13" s="4"/>
      <c r="H13" s="5"/>
    </row>
    <row r="14" spans="2:16" x14ac:dyDescent="0.25">
      <c r="B14" s="2" t="s">
        <v>14</v>
      </c>
      <c r="C14" s="3">
        <v>824</v>
      </c>
      <c r="D14" s="4"/>
      <c r="E14" s="4"/>
      <c r="F14" s="4"/>
      <c r="G14" s="4"/>
      <c r="H14" s="5"/>
    </row>
    <row r="17" spans="2:10" x14ac:dyDescent="0.25">
      <c r="B17" s="7" t="s">
        <v>15</v>
      </c>
      <c r="C17" s="2" t="s">
        <v>2</v>
      </c>
      <c r="D17" s="2" t="s">
        <v>3</v>
      </c>
      <c r="E17" s="2" t="s">
        <v>4</v>
      </c>
      <c r="F17" s="2" t="s">
        <v>5</v>
      </c>
      <c r="G17" s="2" t="s">
        <v>6</v>
      </c>
      <c r="H17" s="2" t="s">
        <v>7</v>
      </c>
      <c r="I17" s="2" t="s">
        <v>8</v>
      </c>
      <c r="J17" s="2" t="s">
        <v>9</v>
      </c>
    </row>
    <row r="18" spans="2:10" x14ac:dyDescent="0.25">
      <c r="B18" s="6"/>
      <c r="C18" s="8">
        <v>2.69</v>
      </c>
      <c r="D18" s="8">
        <v>2.63</v>
      </c>
      <c r="E18" s="8">
        <v>2.58</v>
      </c>
      <c r="F18" s="8">
        <v>2.5299999999999998</v>
      </c>
      <c r="G18" s="8">
        <v>2.4700000000000002</v>
      </c>
      <c r="H18" s="8">
        <v>2.42</v>
      </c>
      <c r="I18" s="8">
        <v>2.37</v>
      </c>
      <c r="J18" s="9">
        <v>2.33</v>
      </c>
    </row>
    <row r="21" spans="2:10" x14ac:dyDescent="0.25">
      <c r="B21" s="10"/>
      <c r="C21" s="10">
        <f>0.002083*(G18-C18+H18-D18+I18-E18+J18-F18)</f>
        <v>-1.7497199999999989E-3</v>
      </c>
    </row>
    <row r="22" spans="2:10" x14ac:dyDescent="0.25">
      <c r="B22" s="10"/>
      <c r="C22" s="10"/>
    </row>
  </sheetData>
  <dataConsolidate/>
  <mergeCells count="6">
    <mergeCell ref="C12:H12"/>
    <mergeCell ref="C13:H13"/>
    <mergeCell ref="C14:H14"/>
    <mergeCell ref="B17:B18"/>
    <mergeCell ref="B21:B22"/>
    <mergeCell ref="C21:C22"/>
  </mergeCells>
  <phoneticPr fontId="1" type="noConversion"/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maikesw D</dc:creator>
  <cp:lastModifiedBy>maikesw D</cp:lastModifiedBy>
  <dcterms:created xsi:type="dcterms:W3CDTF">2023-05-12T11:15:00Z</dcterms:created>
  <dcterms:modified xsi:type="dcterms:W3CDTF">2024-11-15T10:28:11Z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