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邓傑湧\Desktop\大二上作业\大学物理实验\"/>
    </mc:Choice>
  </mc:AlternateContent>
  <xr:revisionPtr revIDLastSave="0" documentId="13_ncr:1_{AF055197-F5FB-4BAC-BF29-A510DAE0F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邓杰湧" sheetId="1" r:id="rId1"/>
    <sheet name="柳希直" sheetId="4" r:id="rId2"/>
    <sheet name="付俊成" sheetId="5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H10" i="5"/>
  <c r="H12" i="5" s="1"/>
  <c r="G10" i="5"/>
  <c r="G12" i="5" s="1"/>
  <c r="F10" i="5"/>
  <c r="F12" i="5" s="1"/>
  <c r="E10" i="5"/>
  <c r="E12" i="5" s="1"/>
  <c r="D10" i="5"/>
  <c r="D12" i="5" s="1"/>
  <c r="F7" i="5"/>
  <c r="G7" i="5" s="1"/>
  <c r="H7" i="5" s="1"/>
  <c r="E7" i="5"/>
  <c r="H6" i="5"/>
  <c r="H11" i="5" s="1"/>
  <c r="G6" i="5"/>
  <c r="G11" i="5" s="1"/>
  <c r="F6" i="5"/>
  <c r="F11" i="5" s="1"/>
  <c r="E6" i="5"/>
  <c r="E11" i="5" s="1"/>
  <c r="D6" i="5"/>
  <c r="D11" i="5" s="1"/>
  <c r="E3" i="5"/>
  <c r="F3" i="5" s="1"/>
  <c r="G3" i="5" s="1"/>
  <c r="H3" i="5" s="1"/>
  <c r="F7" i="4"/>
  <c r="G7" i="4"/>
  <c r="H7" i="4"/>
  <c r="E7" i="4"/>
  <c r="H3" i="4"/>
  <c r="F3" i="4"/>
  <c r="G3" i="4"/>
  <c r="E3" i="4"/>
  <c r="B16" i="4"/>
  <c r="H10" i="4"/>
  <c r="H12" i="4" s="1"/>
  <c r="G10" i="4"/>
  <c r="G12" i="4" s="1"/>
  <c r="F10" i="4"/>
  <c r="F12" i="4" s="1"/>
  <c r="E10" i="4"/>
  <c r="E12" i="4" s="1"/>
  <c r="D10" i="4"/>
  <c r="D12" i="4" s="1"/>
  <c r="H6" i="4"/>
  <c r="H11" i="4" s="1"/>
  <c r="G6" i="4"/>
  <c r="G11" i="4" s="1"/>
  <c r="F6" i="4"/>
  <c r="F11" i="4" s="1"/>
  <c r="E6" i="4"/>
  <c r="E11" i="4" s="1"/>
  <c r="D6" i="4"/>
  <c r="D11" i="4" s="1"/>
  <c r="E16" i="1"/>
  <c r="H13" i="1"/>
  <c r="E10" i="1"/>
  <c r="F10" i="1"/>
  <c r="F12" i="1" s="1"/>
  <c r="G10" i="1"/>
  <c r="G12" i="1" s="1"/>
  <c r="H10" i="1"/>
  <c r="H12" i="1" s="1"/>
  <c r="D10" i="1"/>
  <c r="D12" i="1" s="1"/>
  <c r="E6" i="1"/>
  <c r="F6" i="1"/>
  <c r="G6" i="1"/>
  <c r="H6" i="1"/>
  <c r="D6" i="1"/>
  <c r="D11" i="1" s="1"/>
  <c r="E12" i="1"/>
  <c r="E11" i="1"/>
  <c r="F11" i="1"/>
  <c r="G11" i="1"/>
  <c r="H11" i="1"/>
  <c r="B16" i="1"/>
  <c r="E7" i="1"/>
  <c r="F7" i="1" s="1"/>
  <c r="G7" i="1" s="1"/>
  <c r="H7" i="1" s="1"/>
  <c r="E3" i="1"/>
  <c r="F3" i="1" s="1"/>
  <c r="G3" i="1" s="1"/>
  <c r="H3" i="1" s="1"/>
  <c r="E13" i="5" l="1"/>
  <c r="D13" i="5"/>
  <c r="F13" i="5"/>
  <c r="G13" i="5"/>
  <c r="H13" i="5"/>
  <c r="D13" i="4"/>
  <c r="E13" i="4"/>
  <c r="F13" i="4"/>
  <c r="G13" i="4"/>
  <c r="H13" i="4"/>
  <c r="G13" i="1"/>
  <c r="F13" i="1"/>
  <c r="E13" i="1"/>
  <c r="D13" i="1"/>
  <c r="E16" i="5" l="1"/>
  <c r="E16" i="4"/>
</calcChain>
</file>

<file path=xl/sharedStrings.xml><?xml version="1.0" encoding="utf-8"?>
<sst xmlns="http://schemas.openxmlformats.org/spreadsheetml/2006/main" count="54" uniqueCount="17">
  <si>
    <t>环数</t>
    <phoneticPr fontId="1" type="noConversion"/>
  </si>
  <si>
    <t>环的位置(mm)</t>
    <phoneticPr fontId="1" type="noConversion"/>
  </si>
  <si>
    <t>大环直径(mm)</t>
    <phoneticPr fontId="1" type="noConversion"/>
  </si>
  <si>
    <t>m</t>
    <phoneticPr fontId="1" type="noConversion"/>
  </si>
  <si>
    <t>左&lt;-</t>
    <phoneticPr fontId="1" type="noConversion"/>
  </si>
  <si>
    <t>右-&gt;</t>
    <phoneticPr fontId="1" type="noConversion"/>
  </si>
  <si>
    <t>n</t>
    <phoneticPr fontId="1" type="noConversion"/>
  </si>
  <si>
    <t>小环直径(mm)</t>
    <phoneticPr fontId="1" type="noConversion"/>
  </si>
  <si>
    <t>大环直径平方(mm)</t>
  </si>
  <si>
    <r>
      <t>环的位置</t>
    </r>
    <r>
      <rPr>
        <sz val="11"/>
        <color theme="1"/>
        <rFont val="宋体"/>
        <family val="3"/>
        <charset val="134"/>
        <scheme val="minor"/>
      </rPr>
      <t>(</t>
    </r>
    <r>
      <rPr>
        <sz val="12"/>
        <color theme="1"/>
        <rFont val="宋体"/>
        <family val="3"/>
        <charset val="134"/>
        <scheme val="minor"/>
      </rPr>
      <t>mm)</t>
    </r>
    <phoneticPr fontId="1" type="noConversion"/>
  </si>
  <si>
    <t>R=</t>
    <phoneticPr fontId="1" type="noConversion"/>
  </si>
  <si>
    <t>小环直径平方(mm)</t>
    <phoneticPr fontId="1" type="noConversion"/>
  </si>
  <si>
    <t>牛顿环测量曲率半径实验</t>
    <phoneticPr fontId="1" type="noConversion"/>
  </si>
  <si>
    <t>R0=</t>
    <phoneticPr fontId="1" type="noConversion"/>
  </si>
  <si>
    <t>AVERAGE=</t>
    <phoneticPr fontId="1" type="noConversion"/>
  </si>
  <si>
    <t>左-&gt;</t>
    <phoneticPr fontId="1" type="noConversion"/>
  </si>
  <si>
    <t>右&lt;-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</si>
</sst>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);[Red]\(0.000\)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3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12</xdr:row>
      <xdr:rowOff>7620</xdr:rowOff>
    </xdr:from>
    <xdr:ext cx="998220" cy="3697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FC757E3-9F97-239B-C1DC-870A7AC68031}"/>
                </a:ext>
              </a:extLst>
            </xdr:cNvPr>
            <xdr:cNvSpPr txBox="1"/>
          </xdr:nvSpPr>
          <xdr:spPr>
            <a:xfrm>
              <a:off x="769620" y="2171700"/>
              <a:ext cx="998220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4(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zh-CN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5FC757E3-9F97-239B-C1DC-870A7AC68031}"/>
                </a:ext>
              </a:extLst>
            </xdr:cNvPr>
            <xdr:cNvSpPr txBox="1"/>
          </xdr:nvSpPr>
          <xdr:spPr>
            <a:xfrm>
              <a:off x="769620" y="2171700"/>
              <a:ext cx="998220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(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𝐷_𝑚^2−𝐷_𝑛^2)/(4(𝑚−𝑛)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175260</xdr:colOff>
      <xdr:row>5</xdr:row>
      <xdr:rowOff>30480</xdr:rowOff>
    </xdr:from>
    <xdr:ext cx="2299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35244B45-6657-3023-6379-F2C51C5F89B7}"/>
                </a:ext>
              </a:extLst>
            </xdr:cNvPr>
            <xdr:cNvSpPr txBox="1"/>
          </xdr:nvSpPr>
          <xdr:spPr>
            <a:xfrm>
              <a:off x="2179320" y="807720"/>
              <a:ext cx="2299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35244B45-6657-3023-6379-F2C51C5F89B7}"/>
                </a:ext>
              </a:extLst>
            </xdr:cNvPr>
            <xdr:cNvSpPr txBox="1"/>
          </xdr:nvSpPr>
          <xdr:spPr>
            <a:xfrm>
              <a:off x="2179320" y="807720"/>
              <a:ext cx="2299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𝐷_𝑚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175260</xdr:colOff>
      <xdr:row>10</xdr:row>
      <xdr:rowOff>83820</xdr:rowOff>
    </xdr:from>
    <xdr:ext cx="22910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4DBDE018-6E78-422F-553F-73DC1E4DD3B9}"/>
                </a:ext>
              </a:extLst>
            </xdr:cNvPr>
            <xdr:cNvSpPr txBox="1"/>
          </xdr:nvSpPr>
          <xdr:spPr>
            <a:xfrm>
              <a:off x="2179320" y="2164080"/>
              <a:ext cx="2291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zh-CN" sz="1100" i="1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4DBDE018-6E78-422F-553F-73DC1E4DD3B9}"/>
                </a:ext>
              </a:extLst>
            </xdr:cNvPr>
            <xdr:cNvSpPr txBox="1"/>
          </xdr:nvSpPr>
          <xdr:spPr>
            <a:xfrm>
              <a:off x="2179320" y="2164080"/>
              <a:ext cx="2291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D_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𝑚^2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167640</xdr:colOff>
      <xdr:row>11</xdr:row>
      <xdr:rowOff>106680</xdr:rowOff>
    </xdr:from>
    <xdr:ext cx="19902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8644A3C8-83BC-5408-232F-DFD59C66E65B}"/>
                </a:ext>
              </a:extLst>
            </xdr:cNvPr>
            <xdr:cNvSpPr txBox="1"/>
          </xdr:nvSpPr>
          <xdr:spPr>
            <a:xfrm>
              <a:off x="2171700" y="2590800"/>
              <a:ext cx="19902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8644A3C8-83BC-5408-232F-DFD59C66E65B}"/>
                </a:ext>
              </a:extLst>
            </xdr:cNvPr>
            <xdr:cNvSpPr txBox="1"/>
          </xdr:nvSpPr>
          <xdr:spPr>
            <a:xfrm>
              <a:off x="2171700" y="2590800"/>
              <a:ext cx="19902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b="0" i="0">
                  <a:latin typeface="Cambria Math" panose="02040503050406030204" pitchFamily="18" charset="0"/>
                </a:rPr>
                <a:t>𝐷_𝑛^2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198120</xdr:colOff>
      <xdr:row>9</xdr:row>
      <xdr:rowOff>38100</xdr:rowOff>
    </xdr:from>
    <xdr:ext cx="19967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F5601B09-1974-2849-EC14-793D9BC33934}"/>
                </a:ext>
              </a:extLst>
            </xdr:cNvPr>
            <xdr:cNvSpPr txBox="1"/>
          </xdr:nvSpPr>
          <xdr:spPr>
            <a:xfrm>
              <a:off x="2202180" y="1844040"/>
              <a:ext cx="1996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altLang="zh-CN" sz="1100" i="1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F5601B09-1974-2849-EC14-793D9BC33934}"/>
                </a:ext>
              </a:extLst>
            </xdr:cNvPr>
            <xdr:cNvSpPr txBox="1"/>
          </xdr:nvSpPr>
          <xdr:spPr>
            <a:xfrm>
              <a:off x="2202180" y="1844040"/>
              <a:ext cx="1996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D_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𝑛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213361</xdr:colOff>
      <xdr:row>15</xdr:row>
      <xdr:rowOff>15240</xdr:rowOff>
    </xdr:from>
    <xdr:ext cx="236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AB32811C-184A-8A5A-FDF5-7F2C7FFBC646}"/>
                </a:ext>
              </a:extLst>
            </xdr:cNvPr>
            <xdr:cNvSpPr txBox="1"/>
          </xdr:nvSpPr>
          <xdr:spPr>
            <a:xfrm flipH="1">
              <a:off x="213361" y="3665220"/>
              <a:ext cx="236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𝜆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AB32811C-184A-8A5A-FDF5-7F2C7FFBC646}"/>
                </a:ext>
              </a:extLst>
            </xdr:cNvPr>
            <xdr:cNvSpPr txBox="1"/>
          </xdr:nvSpPr>
          <xdr:spPr>
            <a:xfrm flipH="1">
              <a:off x="213361" y="3665220"/>
              <a:ext cx="236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 i="0">
                  <a:latin typeface="Cambria Math" panose="02040503050406030204" pitchFamily="18" charset="0"/>
                </a:rPr>
                <a:t>𝜆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9</xdr:col>
      <xdr:colOff>304800</xdr:colOff>
      <xdr:row>9</xdr:row>
      <xdr:rowOff>236220</xdr:rowOff>
    </xdr:from>
    <xdr:ext cx="65" cy="172227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A938B57F-9AAB-F376-F0A5-1BBA3C768AA4}"/>
            </a:ext>
          </a:extLst>
        </xdr:cNvPr>
        <xdr:cNvSpPr txBox="1"/>
      </xdr:nvSpPr>
      <xdr:spPr>
        <a:xfrm>
          <a:off x="6629400" y="2042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12</xdr:row>
      <xdr:rowOff>7620</xdr:rowOff>
    </xdr:from>
    <xdr:ext cx="998220" cy="36978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C25A969E-F2BF-47E7-81BB-C4B491A20C02}"/>
                </a:ext>
              </a:extLst>
            </xdr:cNvPr>
            <xdr:cNvSpPr txBox="1"/>
          </xdr:nvSpPr>
          <xdr:spPr>
            <a:xfrm>
              <a:off x="769620" y="2887980"/>
              <a:ext cx="998220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4(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zh-CN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C25A969E-F2BF-47E7-81BB-C4B491A20C02}"/>
                </a:ext>
              </a:extLst>
            </xdr:cNvPr>
            <xdr:cNvSpPr txBox="1"/>
          </xdr:nvSpPr>
          <xdr:spPr>
            <a:xfrm>
              <a:off x="769620" y="2887980"/>
              <a:ext cx="998220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(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𝐷_𝑚^2−𝐷_𝑛^2)/(4(𝑚−𝑛)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175260</xdr:colOff>
      <xdr:row>5</xdr:row>
      <xdr:rowOff>30480</xdr:rowOff>
    </xdr:from>
    <xdr:ext cx="22999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9EA7C45-EF5C-4BDF-9BCB-5BCC8C80BF32}"/>
                </a:ext>
              </a:extLst>
            </xdr:cNvPr>
            <xdr:cNvSpPr txBox="1"/>
          </xdr:nvSpPr>
          <xdr:spPr>
            <a:xfrm>
              <a:off x="2179320" y="990600"/>
              <a:ext cx="2299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9EA7C45-EF5C-4BDF-9BCB-5BCC8C80BF32}"/>
                </a:ext>
              </a:extLst>
            </xdr:cNvPr>
            <xdr:cNvSpPr txBox="1"/>
          </xdr:nvSpPr>
          <xdr:spPr>
            <a:xfrm>
              <a:off x="2179320" y="990600"/>
              <a:ext cx="2299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𝐷_𝑚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175260</xdr:colOff>
      <xdr:row>10</xdr:row>
      <xdr:rowOff>83820</xdr:rowOff>
    </xdr:from>
    <xdr:ext cx="22910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0B1F59A0-3D34-426B-A599-981358E5D969}"/>
                </a:ext>
              </a:extLst>
            </xdr:cNvPr>
            <xdr:cNvSpPr txBox="1"/>
          </xdr:nvSpPr>
          <xdr:spPr>
            <a:xfrm>
              <a:off x="2179320" y="2164080"/>
              <a:ext cx="2291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zh-CN" sz="1100" i="1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0B1F59A0-3D34-426B-A599-981358E5D969}"/>
                </a:ext>
              </a:extLst>
            </xdr:cNvPr>
            <xdr:cNvSpPr txBox="1"/>
          </xdr:nvSpPr>
          <xdr:spPr>
            <a:xfrm>
              <a:off x="2179320" y="2164080"/>
              <a:ext cx="2291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D_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𝑚^2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167640</xdr:colOff>
      <xdr:row>11</xdr:row>
      <xdr:rowOff>106680</xdr:rowOff>
    </xdr:from>
    <xdr:ext cx="19902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0158EE7E-F57C-46CF-BEDE-28F134CFE16D}"/>
                </a:ext>
              </a:extLst>
            </xdr:cNvPr>
            <xdr:cNvSpPr txBox="1"/>
          </xdr:nvSpPr>
          <xdr:spPr>
            <a:xfrm>
              <a:off x="2171700" y="2590800"/>
              <a:ext cx="19902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0158EE7E-F57C-46CF-BEDE-28F134CFE16D}"/>
                </a:ext>
              </a:extLst>
            </xdr:cNvPr>
            <xdr:cNvSpPr txBox="1"/>
          </xdr:nvSpPr>
          <xdr:spPr>
            <a:xfrm>
              <a:off x="2171700" y="2590800"/>
              <a:ext cx="19902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𝐷_𝑛^2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198120</xdr:colOff>
      <xdr:row>9</xdr:row>
      <xdr:rowOff>38100</xdr:rowOff>
    </xdr:from>
    <xdr:ext cx="19967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7C5DC5DD-7E7E-49BB-9826-B07BE6B56568}"/>
                </a:ext>
              </a:extLst>
            </xdr:cNvPr>
            <xdr:cNvSpPr txBox="1"/>
          </xdr:nvSpPr>
          <xdr:spPr>
            <a:xfrm>
              <a:off x="2202180" y="1844040"/>
              <a:ext cx="1996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altLang="zh-CN" sz="1100" i="1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7C5DC5DD-7E7E-49BB-9826-B07BE6B56568}"/>
                </a:ext>
              </a:extLst>
            </xdr:cNvPr>
            <xdr:cNvSpPr txBox="1"/>
          </xdr:nvSpPr>
          <xdr:spPr>
            <a:xfrm>
              <a:off x="2202180" y="1844040"/>
              <a:ext cx="1996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D_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𝑛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213361</xdr:colOff>
      <xdr:row>15</xdr:row>
      <xdr:rowOff>15240</xdr:rowOff>
    </xdr:from>
    <xdr:ext cx="23622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D66C01F6-8167-4C62-B278-49288D5E6C1E}"/>
                </a:ext>
              </a:extLst>
            </xdr:cNvPr>
            <xdr:cNvSpPr txBox="1"/>
          </xdr:nvSpPr>
          <xdr:spPr>
            <a:xfrm flipH="1">
              <a:off x="213361" y="3665220"/>
              <a:ext cx="236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𝜆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D66C01F6-8167-4C62-B278-49288D5E6C1E}"/>
                </a:ext>
              </a:extLst>
            </xdr:cNvPr>
            <xdr:cNvSpPr txBox="1"/>
          </xdr:nvSpPr>
          <xdr:spPr>
            <a:xfrm flipH="1">
              <a:off x="213361" y="3665220"/>
              <a:ext cx="236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𝜆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9</xdr:col>
      <xdr:colOff>304800</xdr:colOff>
      <xdr:row>9</xdr:row>
      <xdr:rowOff>236220</xdr:rowOff>
    </xdr:from>
    <xdr:ext cx="65" cy="172227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DE999E27-6A4F-42F9-9C9B-FCDE022E8DB8}"/>
            </a:ext>
          </a:extLst>
        </xdr:cNvPr>
        <xdr:cNvSpPr txBox="1"/>
      </xdr:nvSpPr>
      <xdr:spPr>
        <a:xfrm>
          <a:off x="7124700" y="2042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12</xdr:row>
      <xdr:rowOff>7620</xdr:rowOff>
    </xdr:from>
    <xdr:ext cx="998220" cy="36978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28DEC33D-B65E-4E61-8098-07C60EDEB3A2}"/>
                </a:ext>
              </a:extLst>
            </xdr:cNvPr>
            <xdr:cNvSpPr txBox="1"/>
          </xdr:nvSpPr>
          <xdr:spPr>
            <a:xfrm>
              <a:off x="769620" y="2887980"/>
              <a:ext cx="998220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  <m:sup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4(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zh-CN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28DEC33D-B65E-4E61-8098-07C60EDEB3A2}"/>
                </a:ext>
              </a:extLst>
            </xdr:cNvPr>
            <xdr:cNvSpPr txBox="1"/>
          </xdr:nvSpPr>
          <xdr:spPr>
            <a:xfrm>
              <a:off x="769620" y="2887980"/>
              <a:ext cx="998220" cy="3697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(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𝐷_𝑚^2−𝐷_𝑛^2)/(4(𝑚−𝑛)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175260</xdr:colOff>
      <xdr:row>5</xdr:row>
      <xdr:rowOff>30480</xdr:rowOff>
    </xdr:from>
    <xdr:ext cx="22999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2EDBCE9F-4FF9-4EA6-9702-8F73C86CAD09}"/>
                </a:ext>
              </a:extLst>
            </xdr:cNvPr>
            <xdr:cNvSpPr txBox="1"/>
          </xdr:nvSpPr>
          <xdr:spPr>
            <a:xfrm>
              <a:off x="2179320" y="990600"/>
              <a:ext cx="2299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2EDBCE9F-4FF9-4EA6-9702-8F73C86CAD09}"/>
                </a:ext>
              </a:extLst>
            </xdr:cNvPr>
            <xdr:cNvSpPr txBox="1"/>
          </xdr:nvSpPr>
          <xdr:spPr>
            <a:xfrm>
              <a:off x="2179320" y="990600"/>
              <a:ext cx="2299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𝐷_𝑚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175260</xdr:colOff>
      <xdr:row>10</xdr:row>
      <xdr:rowOff>83820</xdr:rowOff>
    </xdr:from>
    <xdr:ext cx="22910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1D6F647D-5142-4210-9233-C25D88711439}"/>
                </a:ext>
              </a:extLst>
            </xdr:cNvPr>
            <xdr:cNvSpPr txBox="1"/>
          </xdr:nvSpPr>
          <xdr:spPr>
            <a:xfrm>
              <a:off x="2179320" y="2164080"/>
              <a:ext cx="2291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zh-CN" sz="1100" i="1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1D6F647D-5142-4210-9233-C25D88711439}"/>
                </a:ext>
              </a:extLst>
            </xdr:cNvPr>
            <xdr:cNvSpPr txBox="1"/>
          </xdr:nvSpPr>
          <xdr:spPr>
            <a:xfrm>
              <a:off x="2179320" y="2164080"/>
              <a:ext cx="22910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D_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𝑚^2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167640</xdr:colOff>
      <xdr:row>11</xdr:row>
      <xdr:rowOff>106680</xdr:rowOff>
    </xdr:from>
    <xdr:ext cx="19902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38D08143-A1B0-4465-94F7-17FF3EB08E2F}"/>
                </a:ext>
              </a:extLst>
            </xdr:cNvPr>
            <xdr:cNvSpPr txBox="1"/>
          </xdr:nvSpPr>
          <xdr:spPr>
            <a:xfrm>
              <a:off x="2171700" y="2590800"/>
              <a:ext cx="19902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  <m:sup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38D08143-A1B0-4465-94F7-17FF3EB08E2F}"/>
                </a:ext>
              </a:extLst>
            </xdr:cNvPr>
            <xdr:cNvSpPr txBox="1"/>
          </xdr:nvSpPr>
          <xdr:spPr>
            <a:xfrm>
              <a:off x="2171700" y="2590800"/>
              <a:ext cx="19902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𝐷_𝑛^2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198120</xdr:colOff>
      <xdr:row>9</xdr:row>
      <xdr:rowOff>38100</xdr:rowOff>
    </xdr:from>
    <xdr:ext cx="19967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CC177020-F30A-4454-94AA-77C7F95CC228}"/>
                </a:ext>
              </a:extLst>
            </xdr:cNvPr>
            <xdr:cNvSpPr txBox="1"/>
          </xdr:nvSpPr>
          <xdr:spPr>
            <a:xfrm>
              <a:off x="2202180" y="1844040"/>
              <a:ext cx="1996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altLang="zh-CN" sz="1100" i="1">
                            <a:latin typeface="Cambria Math" panose="02040503050406030204" pitchFamily="18" charset="0"/>
                          </a:rPr>
                          <m:t>D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CC177020-F30A-4454-94AA-77C7F95CC228}"/>
                </a:ext>
              </a:extLst>
            </xdr:cNvPr>
            <xdr:cNvSpPr txBox="1"/>
          </xdr:nvSpPr>
          <xdr:spPr>
            <a:xfrm>
              <a:off x="2202180" y="1844040"/>
              <a:ext cx="1996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D_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𝑛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213361</xdr:colOff>
      <xdr:row>15</xdr:row>
      <xdr:rowOff>15240</xdr:rowOff>
    </xdr:from>
    <xdr:ext cx="23622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3D5E89CB-31B9-4E0F-B1AB-997F4D776E3B}"/>
                </a:ext>
              </a:extLst>
            </xdr:cNvPr>
            <xdr:cNvSpPr txBox="1"/>
          </xdr:nvSpPr>
          <xdr:spPr>
            <a:xfrm flipH="1">
              <a:off x="213361" y="3665220"/>
              <a:ext cx="236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𝜆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3D5E89CB-31B9-4E0F-B1AB-997F4D776E3B}"/>
                </a:ext>
              </a:extLst>
            </xdr:cNvPr>
            <xdr:cNvSpPr txBox="1"/>
          </xdr:nvSpPr>
          <xdr:spPr>
            <a:xfrm flipH="1">
              <a:off x="213361" y="3665220"/>
              <a:ext cx="236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𝜆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9</xdr:col>
      <xdr:colOff>304800</xdr:colOff>
      <xdr:row>9</xdr:row>
      <xdr:rowOff>236220</xdr:rowOff>
    </xdr:from>
    <xdr:ext cx="65" cy="172227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2B0444C9-EE68-4EFE-B866-F6F00BCB71BB}"/>
            </a:ext>
          </a:extLst>
        </xdr:cNvPr>
        <xdr:cNvSpPr txBox="1"/>
      </xdr:nvSpPr>
      <xdr:spPr>
        <a:xfrm>
          <a:off x="7124700" y="2042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"/>
  <sheetViews>
    <sheetView tabSelected="1" workbookViewId="0"/>
  </sheetViews>
  <sheetFormatPr defaultColWidth="9" defaultRowHeight="14.4" x14ac:dyDescent="0.25"/>
  <cols>
    <col min="2" max="2" width="20.21875" bestFit="1" customWidth="1"/>
    <col min="4" max="8" width="10.44140625" bestFit="1" customWidth="1"/>
  </cols>
  <sheetData>
    <row r="2" spans="2:8" x14ac:dyDescent="0.25">
      <c r="B2" s="7" t="s">
        <v>12</v>
      </c>
      <c r="C2" s="8"/>
      <c r="D2" s="8"/>
      <c r="E2" s="8"/>
      <c r="F2" s="8"/>
      <c r="G2" s="8"/>
      <c r="H2" s="8"/>
    </row>
    <row r="3" spans="2:8" ht="15.6" x14ac:dyDescent="0.25">
      <c r="B3" s="1" t="s">
        <v>0</v>
      </c>
      <c r="C3" s="1" t="s">
        <v>3</v>
      </c>
      <c r="D3" s="2">
        <v>23</v>
      </c>
      <c r="E3" s="2">
        <f>D3-1</f>
        <v>22</v>
      </c>
      <c r="F3" s="2">
        <f t="shared" ref="F3:H3" si="0">E3-1</f>
        <v>21</v>
      </c>
      <c r="G3" s="2">
        <f t="shared" si="0"/>
        <v>20</v>
      </c>
      <c r="H3" s="2">
        <f t="shared" si="0"/>
        <v>19</v>
      </c>
    </row>
    <row r="4" spans="2:8" ht="15.6" x14ac:dyDescent="0.25">
      <c r="B4" s="5" t="s">
        <v>9</v>
      </c>
      <c r="C4" s="1" t="s">
        <v>4</v>
      </c>
      <c r="D4" s="9">
        <v>28.635000000000002</v>
      </c>
      <c r="E4" s="9">
        <v>28.556999999999999</v>
      </c>
      <c r="F4" s="9">
        <v>28.481000000000002</v>
      </c>
      <c r="G4" s="9">
        <v>28.405000000000001</v>
      </c>
      <c r="H4" s="9">
        <v>28.331</v>
      </c>
    </row>
    <row r="5" spans="2:8" ht="15.6" x14ac:dyDescent="0.25">
      <c r="B5" s="6"/>
      <c r="C5" s="1" t="s">
        <v>5</v>
      </c>
      <c r="D5" s="9">
        <v>21.4</v>
      </c>
      <c r="E5" s="9">
        <v>21.481000000000002</v>
      </c>
      <c r="F5" s="9">
        <v>21.553000000000001</v>
      </c>
      <c r="G5" s="9">
        <v>21.640999999999998</v>
      </c>
      <c r="H5" s="9">
        <v>21.704000000000001</v>
      </c>
    </row>
    <row r="6" spans="2:8" ht="15.6" x14ac:dyDescent="0.25">
      <c r="B6" s="3" t="s">
        <v>2</v>
      </c>
      <c r="C6" s="1"/>
      <c r="D6" s="9">
        <f>D4-D5</f>
        <v>7.235000000000003</v>
      </c>
      <c r="E6" s="9">
        <f t="shared" ref="E6:H6" si="1">E4-E5</f>
        <v>7.075999999999997</v>
      </c>
      <c r="F6" s="9">
        <f t="shared" si="1"/>
        <v>6.9280000000000008</v>
      </c>
      <c r="G6" s="9">
        <f t="shared" si="1"/>
        <v>6.7640000000000029</v>
      </c>
      <c r="H6" s="9">
        <f t="shared" si="1"/>
        <v>6.6269999999999989</v>
      </c>
    </row>
    <row r="7" spans="2:8" ht="15.6" x14ac:dyDescent="0.25">
      <c r="B7" s="1" t="s">
        <v>0</v>
      </c>
      <c r="C7" s="1" t="s">
        <v>6</v>
      </c>
      <c r="D7" s="2">
        <v>18</v>
      </c>
      <c r="E7" s="2">
        <f>D7-1</f>
        <v>17</v>
      </c>
      <c r="F7" s="2">
        <f t="shared" ref="F7:H7" si="2">E7-1</f>
        <v>16</v>
      </c>
      <c r="G7" s="2">
        <f t="shared" si="2"/>
        <v>15</v>
      </c>
      <c r="H7" s="2">
        <f t="shared" si="2"/>
        <v>14</v>
      </c>
    </row>
    <row r="8" spans="2:8" ht="15.6" x14ac:dyDescent="0.25">
      <c r="B8" s="5" t="s">
        <v>1</v>
      </c>
      <c r="C8" s="1" t="s">
        <v>4</v>
      </c>
      <c r="D8" s="9">
        <v>28.25</v>
      </c>
      <c r="E8" s="9">
        <v>28.161999999999999</v>
      </c>
      <c r="F8" s="9">
        <v>28.084</v>
      </c>
      <c r="G8" s="9">
        <v>27.995000000000001</v>
      </c>
      <c r="H8" s="9">
        <v>27.914999999999999</v>
      </c>
    </row>
    <row r="9" spans="2:8" ht="19.8" customHeight="1" x14ac:dyDescent="0.25">
      <c r="B9" s="6"/>
      <c r="C9" s="1" t="s">
        <v>5</v>
      </c>
      <c r="D9" s="9">
        <v>21.785</v>
      </c>
      <c r="E9" s="9">
        <v>21.864999999999998</v>
      </c>
      <c r="F9" s="9">
        <v>21.952000000000002</v>
      </c>
      <c r="G9" s="9">
        <v>22.04</v>
      </c>
      <c r="H9" s="9">
        <v>22.135000000000002</v>
      </c>
    </row>
    <row r="10" spans="2:8" ht="21.6" customHeight="1" x14ac:dyDescent="0.25">
      <c r="B10" s="1" t="s">
        <v>7</v>
      </c>
      <c r="C10" s="1"/>
      <c r="D10" s="9">
        <f>D8-D9</f>
        <v>6.4649999999999999</v>
      </c>
      <c r="E10" s="9">
        <f t="shared" ref="E10:H10" si="3">E8-E9</f>
        <v>6.2970000000000006</v>
      </c>
      <c r="F10" s="9">
        <f t="shared" si="3"/>
        <v>6.1319999999999979</v>
      </c>
      <c r="G10" s="9">
        <f t="shared" si="3"/>
        <v>5.9550000000000018</v>
      </c>
      <c r="H10" s="9">
        <f t="shared" si="3"/>
        <v>5.7799999999999976</v>
      </c>
    </row>
    <row r="11" spans="2:8" ht="31.8" customHeight="1" x14ac:dyDescent="0.25">
      <c r="B11" s="1" t="s">
        <v>8</v>
      </c>
      <c r="C11" s="1"/>
      <c r="D11" s="2">
        <f>D6*D6</f>
        <v>52.345225000000042</v>
      </c>
      <c r="E11" s="2">
        <f t="shared" ref="E11:H11" si="4">E6*E6</f>
        <v>50.069775999999955</v>
      </c>
      <c r="F11" s="2">
        <f t="shared" si="4"/>
        <v>47.997184000000011</v>
      </c>
      <c r="G11" s="2">
        <f t="shared" si="4"/>
        <v>45.751696000000038</v>
      </c>
      <c r="H11" s="2">
        <f t="shared" si="4"/>
        <v>43.917128999999989</v>
      </c>
    </row>
    <row r="12" spans="2:8" ht="31.2" customHeight="1" x14ac:dyDescent="0.25">
      <c r="B12" s="3" t="s">
        <v>11</v>
      </c>
      <c r="C12" s="1"/>
      <c r="D12" s="2">
        <f>D10*D10</f>
        <v>41.796225</v>
      </c>
      <c r="E12" s="2">
        <f t="shared" ref="E12:H12" si="5">E10*E10</f>
        <v>39.652209000000006</v>
      </c>
      <c r="F12" s="2">
        <f t="shared" si="5"/>
        <v>37.601423999999973</v>
      </c>
      <c r="G12" s="2">
        <f t="shared" si="5"/>
        <v>35.462025000000025</v>
      </c>
      <c r="H12" s="2">
        <f t="shared" si="5"/>
        <v>33.408399999999972</v>
      </c>
    </row>
    <row r="13" spans="2:8" ht="31.8" customHeight="1" x14ac:dyDescent="0.25">
      <c r="B13" s="2" t="s">
        <v>10</v>
      </c>
      <c r="C13" s="1"/>
      <c r="D13" s="2">
        <f>(D11-D12)/(4*(D3-D7)*$B$16)</f>
        <v>895.04496860682525</v>
      </c>
      <c r="E13" s="2">
        <f t="shared" ref="E13:H13" si="6">(E11-E12)/(4*(E3-E7)*$B$16)</f>
        <v>883.89334804004318</v>
      </c>
      <c r="F13" s="2">
        <f t="shared" si="6"/>
        <v>882.04310198540975</v>
      </c>
      <c r="G13" s="2">
        <f t="shared" si="6"/>
        <v>873.04182928898808</v>
      </c>
      <c r="H13" s="2">
        <f>(H11-H12)/(4*(H3-H7)*$B$16)</f>
        <v>891.62811810622918</v>
      </c>
    </row>
    <row r="16" spans="2:8" x14ac:dyDescent="0.25">
      <c r="B16">
        <f>589.3/1000000</f>
        <v>5.8929999999999996E-4</v>
      </c>
      <c r="D16" s="4" t="s">
        <v>14</v>
      </c>
      <c r="E16">
        <f>AVERAGE(D13:H13)</f>
        <v>885.13027320549918</v>
      </c>
    </row>
    <row r="17" spans="1:2" x14ac:dyDescent="0.25">
      <c r="A17" s="4" t="s">
        <v>13</v>
      </c>
      <c r="B17">
        <v>855.1</v>
      </c>
    </row>
  </sheetData>
  <mergeCells count="3">
    <mergeCell ref="B4:B5"/>
    <mergeCell ref="B2:H2"/>
    <mergeCell ref="B8:B9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C4EF-9868-43D8-8A55-4F8785E316A3}">
  <dimension ref="A2:H17"/>
  <sheetViews>
    <sheetView workbookViewId="0">
      <selection activeCell="D10" sqref="D10"/>
    </sheetView>
  </sheetViews>
  <sheetFormatPr defaultColWidth="9" defaultRowHeight="14.4" x14ac:dyDescent="0.25"/>
  <cols>
    <col min="2" max="2" width="20.21875" bestFit="1" customWidth="1"/>
    <col min="4" max="8" width="10.44140625" bestFit="1" customWidth="1"/>
  </cols>
  <sheetData>
    <row r="2" spans="2:8" x14ac:dyDescent="0.25">
      <c r="B2" s="7" t="s">
        <v>12</v>
      </c>
      <c r="C2" s="8"/>
      <c r="D2" s="8"/>
      <c r="E2" s="8"/>
      <c r="F2" s="8"/>
      <c r="G2" s="8"/>
      <c r="H2" s="8"/>
    </row>
    <row r="3" spans="2:8" ht="15.6" x14ac:dyDescent="0.25">
      <c r="B3" s="1" t="s">
        <v>0</v>
      </c>
      <c r="C3" s="1" t="s">
        <v>3</v>
      </c>
      <c r="D3" s="2">
        <v>40</v>
      </c>
      <c r="E3" s="2">
        <f>D3-2</f>
        <v>38</v>
      </c>
      <c r="F3" s="2">
        <f t="shared" ref="F3:H3" si="0">E3-2</f>
        <v>36</v>
      </c>
      <c r="G3" s="2">
        <f t="shared" si="0"/>
        <v>34</v>
      </c>
      <c r="H3" s="2">
        <f t="shared" si="0"/>
        <v>32</v>
      </c>
    </row>
    <row r="4" spans="2:8" ht="15.6" x14ac:dyDescent="0.25">
      <c r="B4" s="5" t="s">
        <v>9</v>
      </c>
      <c r="C4" s="1" t="s">
        <v>15</v>
      </c>
      <c r="D4" s="9">
        <v>29.667000000000002</v>
      </c>
      <c r="E4" s="9">
        <v>29.545000000000002</v>
      </c>
      <c r="F4" s="9">
        <v>29.431999999999999</v>
      </c>
      <c r="G4" s="9">
        <v>29.308</v>
      </c>
      <c r="H4" s="9">
        <v>29.192</v>
      </c>
    </row>
    <row r="5" spans="2:8" ht="15.6" x14ac:dyDescent="0.25">
      <c r="B5" s="6"/>
      <c r="C5" s="1" t="s">
        <v>16</v>
      </c>
      <c r="D5" s="9">
        <v>20.381</v>
      </c>
      <c r="E5" s="9">
        <v>20.552</v>
      </c>
      <c r="F5" s="9">
        <v>20.63</v>
      </c>
      <c r="G5" s="9">
        <v>20.762</v>
      </c>
      <c r="H5" s="9">
        <v>20.882999999999999</v>
      </c>
    </row>
    <row r="6" spans="2:8" ht="15.6" x14ac:dyDescent="0.25">
      <c r="B6" s="3" t="s">
        <v>2</v>
      </c>
      <c r="C6" s="1"/>
      <c r="D6" s="9">
        <f>D4-D5</f>
        <v>9.2860000000000014</v>
      </c>
      <c r="E6" s="9">
        <f t="shared" ref="E6:H6" si="1">E4-E5</f>
        <v>8.9930000000000021</v>
      </c>
      <c r="F6" s="9">
        <f t="shared" si="1"/>
        <v>8.8019999999999996</v>
      </c>
      <c r="G6" s="9">
        <f t="shared" si="1"/>
        <v>8.5459999999999994</v>
      </c>
      <c r="H6" s="9">
        <f t="shared" si="1"/>
        <v>8.3090000000000011</v>
      </c>
    </row>
    <row r="7" spans="2:8" ht="15.6" x14ac:dyDescent="0.25">
      <c r="B7" s="1" t="s">
        <v>0</v>
      </c>
      <c r="C7" s="1" t="s">
        <v>6</v>
      </c>
      <c r="D7" s="2">
        <v>28</v>
      </c>
      <c r="E7" s="2">
        <f>D7-2</f>
        <v>26</v>
      </c>
      <c r="F7" s="2">
        <f t="shared" ref="F7:H7" si="2">E7-2</f>
        <v>24</v>
      </c>
      <c r="G7" s="2">
        <f t="shared" si="2"/>
        <v>22</v>
      </c>
      <c r="H7" s="2">
        <f t="shared" si="2"/>
        <v>20</v>
      </c>
    </row>
    <row r="8" spans="2:8" ht="15.6" x14ac:dyDescent="0.25">
      <c r="B8" s="5" t="s">
        <v>1</v>
      </c>
      <c r="C8" s="1" t="s">
        <v>15</v>
      </c>
      <c r="D8" s="9">
        <v>28.928000000000001</v>
      </c>
      <c r="E8" s="9">
        <v>28.806999999999999</v>
      </c>
      <c r="F8" s="9">
        <v>28.670999999999999</v>
      </c>
      <c r="G8" s="9">
        <v>28.516999999999999</v>
      </c>
      <c r="H8" s="9">
        <v>28.361999999999998</v>
      </c>
    </row>
    <row r="9" spans="2:8" ht="19.8" customHeight="1" x14ac:dyDescent="0.25">
      <c r="B9" s="6"/>
      <c r="C9" s="1" t="s">
        <v>16</v>
      </c>
      <c r="D9" s="9">
        <v>21.138000000000002</v>
      </c>
      <c r="E9" s="9">
        <v>21.271999999999998</v>
      </c>
      <c r="F9" s="9">
        <v>21.411999999999999</v>
      </c>
      <c r="G9" s="9">
        <v>21.55</v>
      </c>
      <c r="H9" s="9">
        <v>21.698</v>
      </c>
    </row>
    <row r="10" spans="2:8" ht="21.6" customHeight="1" x14ac:dyDescent="0.25">
      <c r="B10" s="1" t="s">
        <v>7</v>
      </c>
      <c r="C10" s="1"/>
      <c r="D10" s="9">
        <f>D8-D9</f>
        <v>7.7899999999999991</v>
      </c>
      <c r="E10" s="9">
        <f t="shared" ref="E10:H10" si="3">E8-E9</f>
        <v>7.5350000000000001</v>
      </c>
      <c r="F10" s="9">
        <f t="shared" si="3"/>
        <v>7.2590000000000003</v>
      </c>
      <c r="G10" s="9">
        <f t="shared" si="3"/>
        <v>6.9669999999999987</v>
      </c>
      <c r="H10" s="9">
        <f t="shared" si="3"/>
        <v>6.6639999999999979</v>
      </c>
    </row>
    <row r="11" spans="2:8" ht="31.8" customHeight="1" x14ac:dyDescent="0.25">
      <c r="B11" s="1" t="s">
        <v>8</v>
      </c>
      <c r="C11" s="1"/>
      <c r="D11" s="2">
        <f>D6*D6</f>
        <v>86.229796000000022</v>
      </c>
      <c r="E11" s="2">
        <f t="shared" ref="E11:H11" si="4">E6*E6</f>
        <v>80.874049000000042</v>
      </c>
      <c r="F11" s="2">
        <f t="shared" si="4"/>
        <v>77.475203999999991</v>
      </c>
      <c r="G11" s="2">
        <f t="shared" si="4"/>
        <v>73.034115999999983</v>
      </c>
      <c r="H11" s="2">
        <f t="shared" si="4"/>
        <v>69.039481000000023</v>
      </c>
    </row>
    <row r="12" spans="2:8" ht="31.2" customHeight="1" x14ac:dyDescent="0.25">
      <c r="B12" s="3" t="s">
        <v>11</v>
      </c>
      <c r="C12" s="1"/>
      <c r="D12" s="2">
        <f>D10*D10</f>
        <v>60.684099999999987</v>
      </c>
      <c r="E12" s="2">
        <f t="shared" ref="E12:H12" si="5">E10*E10</f>
        <v>56.776225000000004</v>
      </c>
      <c r="F12" s="2">
        <f t="shared" si="5"/>
        <v>52.693081000000006</v>
      </c>
      <c r="G12" s="2">
        <f t="shared" si="5"/>
        <v>48.539088999999983</v>
      </c>
      <c r="H12" s="2">
        <f t="shared" si="5"/>
        <v>44.40889599999997</v>
      </c>
    </row>
    <row r="13" spans="2:8" ht="31.8" customHeight="1" x14ac:dyDescent="0.25">
      <c r="B13" s="2" t="s">
        <v>10</v>
      </c>
      <c r="C13" s="1"/>
      <c r="D13" s="2">
        <f>(D11-D12)/(4*(D3-D7)*$B$16)</f>
        <v>903.10877312065293</v>
      </c>
      <c r="E13" s="2">
        <f t="shared" ref="E13:H13" si="6">(E11-E12)/(4*(E3-E7)*$B$16)</f>
        <v>851.92262005769703</v>
      </c>
      <c r="F13" s="2">
        <f t="shared" si="6"/>
        <v>876.11442247864659</v>
      </c>
      <c r="G13" s="2">
        <f t="shared" si="6"/>
        <v>865.96480994400144</v>
      </c>
      <c r="H13" s="2">
        <f>(H11-H12)/(4*(H3-H7)*$B$16)</f>
        <v>870.75714831155813</v>
      </c>
    </row>
    <row r="16" spans="2:8" x14ac:dyDescent="0.25">
      <c r="B16">
        <f>589.3/1000000</f>
        <v>5.8929999999999996E-4</v>
      </c>
      <c r="D16" s="4" t="s">
        <v>14</v>
      </c>
      <c r="E16">
        <f>AVERAGE(D13:H13)</f>
        <v>873.57355478251122</v>
      </c>
    </row>
    <row r="17" spans="1:2" x14ac:dyDescent="0.25">
      <c r="A17" s="4" t="s">
        <v>13</v>
      </c>
      <c r="B17">
        <v>855.1</v>
      </c>
    </row>
  </sheetData>
  <mergeCells count="3">
    <mergeCell ref="B2:H2"/>
    <mergeCell ref="B4:B5"/>
    <mergeCell ref="B8:B9"/>
  </mergeCells>
  <phoneticPr fontId="4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8006-2FDA-434B-9261-52199EC28154}">
  <dimension ref="A2:H17"/>
  <sheetViews>
    <sheetView workbookViewId="0">
      <selection activeCell="I9" sqref="I9"/>
    </sheetView>
  </sheetViews>
  <sheetFormatPr defaultColWidth="9" defaultRowHeight="14.4" x14ac:dyDescent="0.25"/>
  <cols>
    <col min="2" max="2" width="20.21875" bestFit="1" customWidth="1"/>
    <col min="4" max="8" width="10.44140625" bestFit="1" customWidth="1"/>
  </cols>
  <sheetData>
    <row r="2" spans="2:8" x14ac:dyDescent="0.25">
      <c r="B2" s="7" t="s">
        <v>12</v>
      </c>
      <c r="C2" s="8"/>
      <c r="D2" s="8"/>
      <c r="E2" s="8"/>
      <c r="F2" s="8"/>
      <c r="G2" s="8"/>
      <c r="H2" s="8"/>
    </row>
    <row r="3" spans="2:8" ht="15.6" x14ac:dyDescent="0.25">
      <c r="B3" s="1" t="s">
        <v>0</v>
      </c>
      <c r="C3" s="1" t="s">
        <v>3</v>
      </c>
      <c r="D3" s="2">
        <v>23</v>
      </c>
      <c r="E3" s="2">
        <f>D3-1</f>
        <v>22</v>
      </c>
      <c r="F3" s="2">
        <f t="shared" ref="F3:H3" si="0">E3-1</f>
        <v>21</v>
      </c>
      <c r="G3" s="2">
        <f t="shared" si="0"/>
        <v>20</v>
      </c>
      <c r="H3" s="2">
        <f t="shared" si="0"/>
        <v>19</v>
      </c>
    </row>
    <row r="4" spans="2:8" ht="15.6" x14ac:dyDescent="0.25">
      <c r="B4" s="5" t="s">
        <v>9</v>
      </c>
      <c r="C4" s="1" t="s">
        <v>4</v>
      </c>
      <c r="D4" s="9">
        <v>28.459</v>
      </c>
      <c r="E4" s="9">
        <v>28.367000000000001</v>
      </c>
      <c r="F4" s="9">
        <v>28.295000000000002</v>
      </c>
      <c r="G4" s="9">
        <v>28.219000000000001</v>
      </c>
      <c r="H4" s="9">
        <v>28.143000000000001</v>
      </c>
    </row>
    <row r="5" spans="2:8" ht="15.6" x14ac:dyDescent="0.25">
      <c r="B5" s="6"/>
      <c r="C5" s="1" t="s">
        <v>5</v>
      </c>
      <c r="D5" s="9">
        <v>21.541</v>
      </c>
      <c r="E5" s="9">
        <v>21.632999999999999</v>
      </c>
      <c r="F5" s="9">
        <v>21.704999999999998</v>
      </c>
      <c r="G5" s="9">
        <v>21.780999999999999</v>
      </c>
      <c r="H5" s="9">
        <v>21.875</v>
      </c>
    </row>
    <row r="6" spans="2:8" ht="15.6" x14ac:dyDescent="0.25">
      <c r="B6" s="3" t="s">
        <v>2</v>
      </c>
      <c r="C6" s="1"/>
      <c r="D6" s="9">
        <f>D4-D5</f>
        <v>6.9179999999999993</v>
      </c>
      <c r="E6" s="9">
        <f t="shared" ref="E6:H6" si="1">E4-E5</f>
        <v>6.7340000000000018</v>
      </c>
      <c r="F6" s="9">
        <f t="shared" si="1"/>
        <v>6.5900000000000034</v>
      </c>
      <c r="G6" s="9">
        <f t="shared" si="1"/>
        <v>6.4380000000000024</v>
      </c>
      <c r="H6" s="9">
        <f t="shared" si="1"/>
        <v>6.2680000000000007</v>
      </c>
    </row>
    <row r="7" spans="2:8" ht="15.6" x14ac:dyDescent="0.25">
      <c r="B7" s="1" t="s">
        <v>0</v>
      </c>
      <c r="C7" s="1" t="s">
        <v>6</v>
      </c>
      <c r="D7" s="2">
        <v>18</v>
      </c>
      <c r="E7" s="2">
        <f>D7-1</f>
        <v>17</v>
      </c>
      <c r="F7" s="2">
        <f t="shared" ref="F7:H7" si="2">E7-1</f>
        <v>16</v>
      </c>
      <c r="G7" s="2">
        <f t="shared" si="2"/>
        <v>15</v>
      </c>
      <c r="H7" s="2">
        <f t="shared" si="2"/>
        <v>14</v>
      </c>
    </row>
    <row r="8" spans="2:8" ht="15.6" x14ac:dyDescent="0.25">
      <c r="B8" s="5" t="s">
        <v>1</v>
      </c>
      <c r="C8" s="1" t="s">
        <v>4</v>
      </c>
      <c r="D8" s="9">
        <v>28.05</v>
      </c>
      <c r="E8" s="9">
        <v>27.971</v>
      </c>
      <c r="F8" s="9">
        <v>27.885000000000002</v>
      </c>
      <c r="G8" s="9">
        <v>27.751999999999999</v>
      </c>
      <c r="H8" s="9">
        <v>27.619</v>
      </c>
    </row>
    <row r="9" spans="2:8" ht="19.8" customHeight="1" x14ac:dyDescent="0.25">
      <c r="B9" s="6"/>
      <c r="C9" s="1" t="s">
        <v>5</v>
      </c>
      <c r="D9" s="9">
        <v>21.95</v>
      </c>
      <c r="E9" s="9">
        <v>22.029</v>
      </c>
      <c r="F9" s="9">
        <v>22.114999999999998</v>
      </c>
      <c r="G9" s="9">
        <v>22.248000000000001</v>
      </c>
      <c r="H9" s="9">
        <v>22.381</v>
      </c>
    </row>
    <row r="10" spans="2:8" ht="21.6" customHeight="1" x14ac:dyDescent="0.25">
      <c r="B10" s="1" t="s">
        <v>7</v>
      </c>
      <c r="C10" s="1"/>
      <c r="D10" s="9">
        <f>D8-D9</f>
        <v>6.1000000000000014</v>
      </c>
      <c r="E10" s="9">
        <f t="shared" ref="E10:H10" si="3">E8-E9</f>
        <v>5.9420000000000002</v>
      </c>
      <c r="F10" s="9">
        <f t="shared" si="3"/>
        <v>5.7700000000000031</v>
      </c>
      <c r="G10" s="9">
        <f t="shared" si="3"/>
        <v>5.5039999999999978</v>
      </c>
      <c r="H10" s="9">
        <f t="shared" si="3"/>
        <v>5.2379999999999995</v>
      </c>
    </row>
    <row r="11" spans="2:8" ht="31.8" customHeight="1" x14ac:dyDescent="0.25">
      <c r="B11" s="1" t="s">
        <v>8</v>
      </c>
      <c r="C11" s="1"/>
      <c r="D11" s="2">
        <f>D6*D6</f>
        <v>47.858723999999988</v>
      </c>
      <c r="E11" s="2">
        <f t="shared" ref="E11:H11" si="4">E6*E6</f>
        <v>45.34675600000002</v>
      </c>
      <c r="F11" s="2">
        <f t="shared" si="4"/>
        <v>43.428100000000043</v>
      </c>
      <c r="G11" s="2">
        <f t="shared" si="4"/>
        <v>41.447844000000032</v>
      </c>
      <c r="H11" s="2">
        <f t="shared" si="4"/>
        <v>39.287824000000008</v>
      </c>
    </row>
    <row r="12" spans="2:8" ht="31.2" customHeight="1" x14ac:dyDescent="0.25">
      <c r="B12" s="3" t="s">
        <v>11</v>
      </c>
      <c r="C12" s="1"/>
      <c r="D12" s="2">
        <f>D10*D10</f>
        <v>37.210000000000015</v>
      </c>
      <c r="E12" s="2">
        <f t="shared" ref="E12:H12" si="5">E10*E10</f>
        <v>35.307364</v>
      </c>
      <c r="F12" s="2">
        <f t="shared" si="5"/>
        <v>33.292900000000039</v>
      </c>
      <c r="G12" s="2">
        <f t="shared" si="5"/>
        <v>30.294015999999974</v>
      </c>
      <c r="H12" s="2">
        <f t="shared" si="5"/>
        <v>27.436643999999994</v>
      </c>
    </row>
    <row r="13" spans="2:8" ht="31.8" customHeight="1" x14ac:dyDescent="0.25">
      <c r="B13" s="2" t="s">
        <v>10</v>
      </c>
      <c r="C13" s="1"/>
      <c r="D13" s="2">
        <f>(D11-D12)/(4*(D3-D7)*$B$16)</f>
        <v>903.50619378923921</v>
      </c>
      <c r="E13" s="2">
        <f t="shared" ref="E13:H13" si="6">(E11-E12)/(4*(E3-E7)*$B$16)</f>
        <v>851.80655014424076</v>
      </c>
      <c r="F13" s="2">
        <f t="shared" si="6"/>
        <v>859.93551671474677</v>
      </c>
      <c r="G13" s="2">
        <f t="shared" si="6"/>
        <v>946.36246394027307</v>
      </c>
      <c r="H13" s="2">
        <f>(H11-H12)/(4*(H3-H7)*$B$16)</f>
        <v>1005.5302901747848</v>
      </c>
    </row>
    <row r="16" spans="2:8" x14ac:dyDescent="0.25">
      <c r="B16">
        <f>589.3/1000000</f>
        <v>5.8929999999999996E-4</v>
      </c>
      <c r="D16" s="4" t="s">
        <v>14</v>
      </c>
      <c r="E16">
        <f>AVERAGE(D13:H13)</f>
        <v>913.42820295265687</v>
      </c>
    </row>
    <row r="17" spans="1:2" x14ac:dyDescent="0.25">
      <c r="A17" s="4" t="s">
        <v>13</v>
      </c>
      <c r="B17">
        <v>855.1</v>
      </c>
    </row>
  </sheetData>
  <mergeCells count="3">
    <mergeCell ref="B2:H2"/>
    <mergeCell ref="B4:B5"/>
    <mergeCell ref="B8:B9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" sqref="B2"/>
    </sheetView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邓杰湧</vt:lpstr>
      <vt:lpstr>柳希直</vt:lpstr>
      <vt:lpstr>付俊成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maikesw D</dc:creator>
  <cp:lastModifiedBy>maikesw D</cp:lastModifiedBy>
  <dcterms:created xsi:type="dcterms:W3CDTF">2023-05-12T11:15:00Z</dcterms:created>
  <dcterms:modified xsi:type="dcterms:W3CDTF">2024-11-01T08:01:21Z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