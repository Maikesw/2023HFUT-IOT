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邓傑湧\Desktop\大二下作业\大物实验\"/>
    </mc:Choice>
  </mc:AlternateContent>
  <xr:revisionPtr revIDLastSave="0" documentId="13_ncr:1_{09175134-A875-498A-8631-5D579A23F6F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表1" sheetId="1" r:id="rId1"/>
    <sheet name="表2" sheetId="2" r:id="rId2"/>
    <sheet name="表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B9" i="3"/>
</calcChain>
</file>

<file path=xl/sharedStrings.xml><?xml version="1.0" encoding="utf-8"?>
<sst xmlns="http://schemas.openxmlformats.org/spreadsheetml/2006/main" count="38" uniqueCount="28">
  <si>
    <t>表1 悬挂法测黄铜棒和不锈钢棒的共振频率数据记录</t>
  </si>
  <si>
    <t>测量组别</t>
  </si>
  <si>
    <t>1</t>
  </si>
  <si>
    <t>2</t>
  </si>
  <si>
    <t>3</t>
  </si>
  <si>
    <t>4</t>
  </si>
  <si>
    <t>5</t>
  </si>
  <si>
    <t>6</t>
  </si>
  <si>
    <t>右悬挂点位置</t>
  </si>
  <si>
    <t>黄铜棒共振频率</t>
  </si>
  <si>
    <t>/</t>
  </si>
  <si>
    <t>不锈钢棒共振频率</t>
  </si>
  <si>
    <t>表2 支撑法测黄铜棒的共振频率数据记录</t>
  </si>
  <si>
    <t>左支撑点位置</t>
  </si>
  <si>
    <t>右支撑点位置</t>
  </si>
  <si>
    <t>表3 被测试样的参数与共振基频记录</t>
  </si>
  <si>
    <t>室温：________      实验日期：________</t>
  </si>
  <si>
    <t>测试样品材质</t>
  </si>
  <si>
    <t>黄铜圆柱体样</t>
  </si>
  <si>
    <t>不锈钢圆柱体样</t>
  </si>
  <si>
    <t>样品长度 L (×10⁻²m)</t>
  </si>
  <si>
    <t>样品直径 d (×10⁻³m)</t>
  </si>
  <si>
    <t>样品质量 m (×10⁻³kg)</t>
  </si>
  <si>
    <t>悬挂共振频率 f(Hz)</t>
  </si>
  <si>
    <t>支撑共振频率 f(Hz)</t>
  </si>
  <si>
    <t>不测</t>
  </si>
  <si>
    <t>左悬挂点位置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</si>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</sst>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2" borderId="4" xfId="0" applyFill="1" applyBorder="1" applyAlignment="1">
      <alignment horizontal="center"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123691</xdr:colOff>
      <xdr:row>9</xdr:row>
      <xdr:rowOff>167640</xdr:rowOff>
    </xdr:from>
    <xdr:to>
      <xdr:col>11</xdr:col>
      <xdr:colOff>606723</xdr:colOff>
      <xdr:row>30</xdr:row>
      <xdr:rowOff>31315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357F650-064A-27DE-7F09-F176C5A2F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9691" y="1813560"/>
          <a:ext cx="4140632" cy="3704155"/>
        </a:xfrm>
        <a:prstGeom prst="rect">
          <a:avLst/>
        </a:prstGeom>
      </xdr:spPr>
    </xdr:pic>
    <xdr:clientData/>
  </xdr:twoCellAnchor>
  <xdr:twoCellAnchor editAs="oneCell">
    <xdr:from>
      <xdr:col>1</xdr:col>
      <xdr:colOff>46593</xdr:colOff>
      <xdr:row>9</xdr:row>
      <xdr:rowOff>160020</xdr:rowOff>
    </xdr:from>
    <xdr:to>
      <xdr:col>4</xdr:col>
      <xdr:colOff>80943</xdr:colOff>
      <xdr:row>30</xdr:row>
      <xdr:rowOff>31315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9FE9B93-D5E0-0944-3CD0-744C31D44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8193" y="1805940"/>
          <a:ext cx="4149150" cy="371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G6" sqref="B5:G6"/>
    </sheetView>
  </sheetViews>
  <sheetFormatPr defaultRowHeight="14.4" x14ac:dyDescent="0.25"/>
  <cols>
    <col min="1" max="7" width="15" customWidth="1"/>
  </cols>
  <sheetData>
    <row r="1" spans="1:7" x14ac:dyDescent="0.25">
      <c r="A1" s="3" t="s">
        <v>0</v>
      </c>
      <c r="B1" s="4"/>
      <c r="C1" s="4"/>
      <c r="D1" s="4"/>
      <c r="E1" s="4"/>
      <c r="F1" s="4"/>
      <c r="G1" s="5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1" t="s">
        <v>26</v>
      </c>
      <c r="B3" s="1">
        <v>5.84</v>
      </c>
      <c r="C3" s="1">
        <v>15.84</v>
      </c>
      <c r="D3" s="1">
        <v>25.84</v>
      </c>
      <c r="E3" s="1">
        <v>35.840000000000003</v>
      </c>
      <c r="F3" s="1">
        <v>45.84</v>
      </c>
      <c r="G3" s="1">
        <v>55.84</v>
      </c>
    </row>
    <row r="4" spans="1:7" x14ac:dyDescent="0.25">
      <c r="A4" s="1" t="s">
        <v>8</v>
      </c>
      <c r="B4" s="1">
        <v>154.16</v>
      </c>
      <c r="C4" s="1">
        <v>144.16</v>
      </c>
      <c r="D4" s="1">
        <v>134.16</v>
      </c>
      <c r="E4" s="1">
        <v>124.16</v>
      </c>
      <c r="F4" s="1">
        <v>114.16</v>
      </c>
      <c r="G4" s="1">
        <v>104.16</v>
      </c>
    </row>
    <row r="5" spans="1:7" x14ac:dyDescent="0.25">
      <c r="A5" s="1" t="s">
        <v>9</v>
      </c>
      <c r="B5" s="1">
        <v>707.8</v>
      </c>
      <c r="C5" s="1">
        <v>706.3</v>
      </c>
      <c r="D5" s="1">
        <v>705.6</v>
      </c>
      <c r="E5" s="1" t="s">
        <v>10</v>
      </c>
      <c r="F5" s="1">
        <v>705.3</v>
      </c>
      <c r="G5" s="1">
        <v>706.2</v>
      </c>
    </row>
    <row r="6" spans="1:7" x14ac:dyDescent="0.25">
      <c r="A6" s="1" t="s">
        <v>11</v>
      </c>
      <c r="B6" s="1">
        <v>1044</v>
      </c>
      <c r="C6" s="1">
        <v>1041</v>
      </c>
      <c r="D6" s="1">
        <v>1039</v>
      </c>
      <c r="E6" s="1" t="s">
        <v>10</v>
      </c>
      <c r="F6" s="1">
        <v>1038</v>
      </c>
      <c r="G6" s="1">
        <v>1040</v>
      </c>
    </row>
  </sheetData>
  <mergeCells count="1">
    <mergeCell ref="A1:G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2" sqref="A2:G5"/>
    </sheetView>
  </sheetViews>
  <sheetFormatPr defaultRowHeight="14.4" x14ac:dyDescent="0.25"/>
  <cols>
    <col min="1" max="7" width="15" customWidth="1"/>
  </cols>
  <sheetData>
    <row r="1" spans="1:7" x14ac:dyDescent="0.25">
      <c r="A1" s="3" t="s">
        <v>12</v>
      </c>
      <c r="B1" s="4"/>
      <c r="C1" s="4"/>
      <c r="D1" s="4"/>
      <c r="E1" s="4"/>
      <c r="F1" s="4"/>
      <c r="G1" s="5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1" t="s">
        <v>13</v>
      </c>
      <c r="B3" s="1">
        <v>5.84</v>
      </c>
      <c r="C3" s="1">
        <v>15.84</v>
      </c>
      <c r="D3" s="1">
        <v>25.84</v>
      </c>
      <c r="E3" s="1">
        <v>35.840000000000003</v>
      </c>
      <c r="F3" s="1">
        <v>45.84</v>
      </c>
      <c r="G3" s="1">
        <v>55.84</v>
      </c>
    </row>
    <row r="4" spans="1:7" x14ac:dyDescent="0.25">
      <c r="A4" s="1" t="s">
        <v>14</v>
      </c>
      <c r="B4" s="1">
        <v>154.16</v>
      </c>
      <c r="C4" s="1">
        <v>144.16</v>
      </c>
      <c r="D4" s="1">
        <v>134.16</v>
      </c>
      <c r="E4" s="1">
        <v>124.16</v>
      </c>
      <c r="F4" s="1">
        <v>114.16</v>
      </c>
      <c r="G4" s="1">
        <v>104.16</v>
      </c>
    </row>
    <row r="5" spans="1:7" x14ac:dyDescent="0.25">
      <c r="A5" s="1" t="s">
        <v>9</v>
      </c>
      <c r="B5" s="1">
        <v>716.4</v>
      </c>
      <c r="C5" s="1">
        <v>713.6</v>
      </c>
      <c r="D5" s="1">
        <v>712.5</v>
      </c>
      <c r="E5" s="1" t="s">
        <v>10</v>
      </c>
      <c r="F5" s="1">
        <v>712.6</v>
      </c>
      <c r="G5" s="1">
        <v>713.1</v>
      </c>
    </row>
  </sheetData>
  <mergeCells count="1">
    <mergeCell ref="A1:G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D8" sqref="D8"/>
    </sheetView>
  </sheetViews>
  <sheetFormatPr defaultRowHeight="14.4" x14ac:dyDescent="0.25"/>
  <cols>
    <col min="1" max="4" width="20" customWidth="1"/>
  </cols>
  <sheetData>
    <row r="1" spans="1:4" x14ac:dyDescent="0.25">
      <c r="A1" s="6" t="s">
        <v>15</v>
      </c>
      <c r="B1" s="7"/>
      <c r="C1" s="7"/>
      <c r="D1" s="8"/>
    </row>
    <row r="2" spans="1:4" x14ac:dyDescent="0.25">
      <c r="A2" s="7" t="s">
        <v>16</v>
      </c>
      <c r="B2" s="7"/>
      <c r="C2" s="7"/>
      <c r="D2" s="8"/>
    </row>
    <row r="3" spans="1:4" x14ac:dyDescent="0.25">
      <c r="A3" s="2" t="s">
        <v>17</v>
      </c>
      <c r="B3" s="2" t="s">
        <v>18</v>
      </c>
      <c r="C3" s="2" t="s">
        <v>19</v>
      </c>
      <c r="D3">
        <v>1.6067</v>
      </c>
    </row>
    <row r="4" spans="1:4" x14ac:dyDescent="0.25">
      <c r="A4" s="2" t="s">
        <v>20</v>
      </c>
      <c r="B4" s="2">
        <v>16</v>
      </c>
      <c r="C4" s="2">
        <v>16</v>
      </c>
    </row>
    <row r="5" spans="1:4" x14ac:dyDescent="0.25">
      <c r="A5" s="2" t="s">
        <v>21</v>
      </c>
      <c r="B5" s="2">
        <v>6</v>
      </c>
      <c r="C5" s="2">
        <v>6</v>
      </c>
    </row>
    <row r="6" spans="1:4" x14ac:dyDescent="0.25">
      <c r="A6" s="2" t="s">
        <v>22</v>
      </c>
      <c r="B6" s="2">
        <v>36.6</v>
      </c>
      <c r="C6" s="2">
        <v>35</v>
      </c>
    </row>
    <row r="7" spans="1:4" x14ac:dyDescent="0.25">
      <c r="A7" s="2" t="s">
        <v>23</v>
      </c>
      <c r="B7" s="2">
        <v>705.17</v>
      </c>
      <c r="C7" s="2">
        <v>1037.97</v>
      </c>
    </row>
    <row r="8" spans="1:4" x14ac:dyDescent="0.25">
      <c r="A8" s="2" t="s">
        <v>24</v>
      </c>
      <c r="B8" s="2">
        <v>705</v>
      </c>
      <c r="C8" s="2" t="s">
        <v>25</v>
      </c>
    </row>
    <row r="9" spans="1:4" x14ac:dyDescent="0.25">
      <c r="A9" s="9" t="s">
        <v>27</v>
      </c>
      <c r="B9" s="10">
        <f>$D$3*B4^3*B6/B5^4*B7^2*1000</f>
        <v>92418407604.795593</v>
      </c>
      <c r="C9" s="10">
        <f>$D$3*C4^3*C6/C5^4*C7^2*1000</f>
        <v>191481749756.68481</v>
      </c>
    </row>
  </sheetData>
  <mergeCells count="2">
    <mergeCell ref="A1:D1"/>
    <mergeCell ref="A2:D2"/>
  </mergeCells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maikesw D</cp:lastModifiedBy>
  <dcterms:created xsi:type="dcterms:W3CDTF">2025-05-20T17:53:26Z</dcterms:created>
  <dcterms:modified xsi:type="dcterms:W3CDTF">2025-05-23T06:20:35Z</dcterms:modified>
</cp:coreProperties>
</file>