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邓傑湧\Desktop\大二下作业\"/>
    </mc:Choice>
  </mc:AlternateContent>
  <xr:revisionPtr revIDLastSave="0" documentId="13_ncr:1_{03D86088-5235-4763-92F6-9A39FEF328EA}" xr6:coauthVersionLast="47" xr6:coauthVersionMax="47" xr10:uidLastSave="{00000000-0000-0000-0000-000000000000}"/>
  <bookViews>
    <workbookView xWindow="-108" yWindow="-108" windowWidth="23256" windowHeight="12456" activeTab="2" xr2:uid="{88A3BF8D-1A71-43EE-A010-DDBBEB9D7D8D}"/>
  </bookViews>
  <sheets>
    <sheet name="表1" sheetId="1" r:id="rId1"/>
    <sheet name="表2" sheetId="2" r:id="rId2"/>
    <sheet name="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4" i="3"/>
  <c r="E9" i="3"/>
  <c r="G5" i="2"/>
  <c r="G6" i="2"/>
  <c r="G7" i="2"/>
  <c r="G8" i="2"/>
  <c r="G9" i="2"/>
  <c r="G10" i="2"/>
  <c r="G11" i="2"/>
  <c r="G12" i="2"/>
  <c r="G13" i="2"/>
  <c r="G4" i="2"/>
  <c r="G5" i="1"/>
  <c r="H5" i="1" s="1"/>
  <c r="G6" i="1"/>
  <c r="H6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H27" i="1" s="1"/>
  <c r="G28" i="1"/>
  <c r="H28" i="1" s="1"/>
  <c r="G29" i="1"/>
  <c r="H29" i="1" s="1"/>
  <c r="G30" i="1"/>
  <c r="H30" i="1" s="1"/>
  <c r="G4" i="1"/>
  <c r="J2" i="1"/>
  <c r="H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J3" i="1" l="1"/>
</calcChain>
</file>

<file path=xl/sharedStrings.xml><?xml version="1.0" encoding="utf-8"?>
<sst xmlns="http://schemas.openxmlformats.org/spreadsheetml/2006/main" count="41" uniqueCount="24">
  <si>
    <t>x/cm</t>
    <phoneticPr fontId="1" type="noConversion"/>
  </si>
  <si>
    <t>V1/mV</t>
    <phoneticPr fontId="1" type="noConversion"/>
  </si>
  <si>
    <t>V2/mV</t>
  </si>
  <si>
    <t>V3/mV</t>
  </si>
  <si>
    <t>V4/mV</t>
  </si>
  <si>
    <t>VH/mV</t>
    <phoneticPr fontId="1" type="noConversion"/>
  </si>
  <si>
    <t>B/mT</t>
    <phoneticPr fontId="1" type="noConversion"/>
  </si>
  <si>
    <t>+B,+Is</t>
    <phoneticPr fontId="1" type="noConversion"/>
  </si>
  <si>
    <t>-B,+Is</t>
    <phoneticPr fontId="1" type="noConversion"/>
  </si>
  <si>
    <t>-B,-Is</t>
    <phoneticPr fontId="1" type="noConversion"/>
  </si>
  <si>
    <t>+B,-Is</t>
    <phoneticPr fontId="1" type="noConversion"/>
  </si>
  <si>
    <t>表一</t>
    <phoneticPr fontId="1" type="noConversion"/>
  </si>
  <si>
    <t>Kh=</t>
    <phoneticPr fontId="1" type="noConversion"/>
  </si>
  <si>
    <t>Is=</t>
    <phoneticPr fontId="1" type="noConversion"/>
  </si>
  <si>
    <t>B理=</t>
    <phoneticPr fontId="1" type="noConversion"/>
  </si>
  <si>
    <t>μ0=</t>
    <phoneticPr fontId="1" type="noConversion"/>
  </si>
  <si>
    <t>Im=</t>
    <phoneticPr fontId="1" type="noConversion"/>
  </si>
  <si>
    <t>N=</t>
    <phoneticPr fontId="1" type="noConversion"/>
  </si>
  <si>
    <t>D=</t>
    <phoneticPr fontId="1" type="noConversion"/>
  </si>
  <si>
    <t>L=</t>
    <phoneticPr fontId="1" type="noConversion"/>
  </si>
  <si>
    <t>不确定度=</t>
    <phoneticPr fontId="1" type="noConversion"/>
  </si>
  <si>
    <t>Im/mA</t>
    <phoneticPr fontId="1" type="noConversion"/>
  </si>
  <si>
    <t>V/mV</t>
    <phoneticPr fontId="1" type="noConversion"/>
  </si>
  <si>
    <t>Is/mA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</si>
</sst>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178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表1!$B$4:$B$30</c:f>
              <c:numCache>
                <c:formatCode>0.0_);[Red]\(0.0\)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11.2</c:v>
                </c:pt>
                <c:pt idx="13">
                  <c:v>11.4</c:v>
                </c:pt>
                <c:pt idx="14">
                  <c:v>11.6</c:v>
                </c:pt>
                <c:pt idx="15">
                  <c:v>11.8</c:v>
                </c:pt>
                <c:pt idx="16">
                  <c:v>12</c:v>
                </c:pt>
                <c:pt idx="17">
                  <c:v>12.2</c:v>
                </c:pt>
                <c:pt idx="18">
                  <c:v>12.4</c:v>
                </c:pt>
                <c:pt idx="19">
                  <c:v>12.6</c:v>
                </c:pt>
                <c:pt idx="20">
                  <c:v>12.8</c:v>
                </c:pt>
                <c:pt idx="21">
                  <c:v>13</c:v>
                </c:pt>
                <c:pt idx="22">
                  <c:v>13.2</c:v>
                </c:pt>
                <c:pt idx="23">
                  <c:v>13.4</c:v>
                </c:pt>
                <c:pt idx="24">
                  <c:v>13.6</c:v>
                </c:pt>
                <c:pt idx="25">
                  <c:v>13.8</c:v>
                </c:pt>
                <c:pt idx="26">
                  <c:v>14</c:v>
                </c:pt>
              </c:numCache>
            </c:numRef>
          </c:xVal>
          <c:yVal>
            <c:numRef>
              <c:f>表1!$H$4:$H$30</c:f>
              <c:numCache>
                <c:formatCode>General</c:formatCode>
                <c:ptCount val="27"/>
                <c:pt idx="0">
                  <c:v>6.2464488636363633</c:v>
                </c:pt>
                <c:pt idx="1">
                  <c:v>6.2464488636363633</c:v>
                </c:pt>
                <c:pt idx="2">
                  <c:v>6.2464488636363633</c:v>
                </c:pt>
                <c:pt idx="3">
                  <c:v>6.2428977272727284</c:v>
                </c:pt>
                <c:pt idx="4">
                  <c:v>6.2428977272727284</c:v>
                </c:pt>
                <c:pt idx="5">
                  <c:v>6.2428977272727284</c:v>
                </c:pt>
                <c:pt idx="6">
                  <c:v>6.2393465909090917</c:v>
                </c:pt>
                <c:pt idx="7">
                  <c:v>6.2357954545454541</c:v>
                </c:pt>
                <c:pt idx="8">
                  <c:v>6.2144886363636358</c:v>
                </c:pt>
                <c:pt idx="9">
                  <c:v>6.1967329545454559</c:v>
                </c:pt>
                <c:pt idx="10">
                  <c:v>6.1008522727272725</c:v>
                </c:pt>
                <c:pt idx="11">
                  <c:v>5.9694602272727275</c:v>
                </c:pt>
                <c:pt idx="12">
                  <c:v>5.9232954545454541</c:v>
                </c:pt>
                <c:pt idx="13">
                  <c:v>5.8700284090909083</c:v>
                </c:pt>
                <c:pt idx="14">
                  <c:v>5.7990056818181817</c:v>
                </c:pt>
                <c:pt idx="15">
                  <c:v>5.7492897727272725</c:v>
                </c:pt>
                <c:pt idx="16">
                  <c:v>5.6960227272727266</c:v>
                </c:pt>
                <c:pt idx="17">
                  <c:v>5.5859375</c:v>
                </c:pt>
                <c:pt idx="18">
                  <c:v>5.4723011363636367</c:v>
                </c:pt>
                <c:pt idx="19">
                  <c:v>5.3231534090909092</c:v>
                </c:pt>
                <c:pt idx="20">
                  <c:v>5.142045454545455</c:v>
                </c:pt>
                <c:pt idx="21">
                  <c:v>4.8899147727272725</c:v>
                </c:pt>
                <c:pt idx="22">
                  <c:v>4.6732954545454541</c:v>
                </c:pt>
                <c:pt idx="23">
                  <c:v>4.375</c:v>
                </c:pt>
                <c:pt idx="24">
                  <c:v>3.9346590909090913</c:v>
                </c:pt>
                <c:pt idx="25">
                  <c:v>3.6150568181818179</c:v>
                </c:pt>
                <c:pt idx="26">
                  <c:v>3.1143465909090908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E-4A55-95A8-8B5FA79C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617312"/>
        <c:axId val="1391621152"/>
      </c:scatterChart>
      <c:valAx>
        <c:axId val="139161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21152"/>
        <c:crosses val="autoZero"/>
        <c:crossBetween val="midCat"/>
      </c:valAx>
      <c:valAx>
        <c:axId val="13916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1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表2!$B$4:$B$13</c:f>
              <c:numCache>
                <c:formatCode>General</c:formatCode>
                <c:ptCount val="1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</c:numCache>
            </c:numRef>
          </c:xVal>
          <c:yVal>
            <c:numRef>
              <c:f>表2!$G$4:$G$13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0.86499999999999999</c:v>
                </c:pt>
                <c:pt idx="2">
                  <c:v>1.7549999999999999</c:v>
                </c:pt>
                <c:pt idx="3">
                  <c:v>2.6274999999999999</c:v>
                </c:pt>
                <c:pt idx="4">
                  <c:v>3.5</c:v>
                </c:pt>
                <c:pt idx="5">
                  <c:v>4.3624999999999998</c:v>
                </c:pt>
                <c:pt idx="6">
                  <c:v>5.2349999999999994</c:v>
                </c:pt>
                <c:pt idx="7">
                  <c:v>6.1099999999999994</c:v>
                </c:pt>
                <c:pt idx="8">
                  <c:v>6.9849999999999994</c:v>
                </c:pt>
                <c:pt idx="9">
                  <c:v>7.8449999999999998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3-473B-8B5E-E194F2DE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661472"/>
        <c:axId val="1391634592"/>
      </c:scatterChart>
      <c:valAx>
        <c:axId val="139166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34592"/>
        <c:crosses val="autoZero"/>
        <c:crossBetween val="midCat"/>
      </c:valAx>
      <c:valAx>
        <c:axId val="13916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6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表3!$B$4:$B$12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表3!$G$4:$G$12</c:f>
              <c:numCache>
                <c:formatCode>General</c:formatCode>
                <c:ptCount val="9"/>
                <c:pt idx="0">
                  <c:v>0.01</c:v>
                </c:pt>
                <c:pt idx="1">
                  <c:v>0.54500000000000004</c:v>
                </c:pt>
                <c:pt idx="2">
                  <c:v>1.0975000000000001</c:v>
                </c:pt>
                <c:pt idx="3">
                  <c:v>1.6375</c:v>
                </c:pt>
                <c:pt idx="4">
                  <c:v>2.1825000000000001</c:v>
                </c:pt>
                <c:pt idx="5">
                  <c:v>2.73</c:v>
                </c:pt>
                <c:pt idx="6">
                  <c:v>3.28</c:v>
                </c:pt>
                <c:pt idx="7">
                  <c:v>3.8200000000000003</c:v>
                </c:pt>
                <c:pt idx="8">
                  <c:v>4.3699999999999992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1-4EF8-BECA-82939962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605792"/>
        <c:axId val="1391632192"/>
      </c:scatterChart>
      <c:valAx>
        <c:axId val="139160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32192"/>
        <c:crosses val="autoZero"/>
        <c:crossBetween val="midCat"/>
      </c:valAx>
      <c:valAx>
        <c:axId val="139163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60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3</xdr:row>
      <xdr:rowOff>64770</xdr:rowOff>
    </xdr:from>
    <xdr:to>
      <xdr:col>16</xdr:col>
      <xdr:colOff>15240</xdr:colOff>
      <xdr:row>19</xdr:row>
      <xdr:rowOff>3810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8509FD-B909-D43E-695B-439D8E9A4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3</xdr:row>
      <xdr:rowOff>26670</xdr:rowOff>
    </xdr:from>
    <xdr:to>
      <xdr:col>15</xdr:col>
      <xdr:colOff>396240</xdr:colOff>
      <xdr:row>18</xdr:row>
      <xdr:rowOff>140970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E17D00-2B2E-8C1B-D479-359FCD6C0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C64F480-3F9E-90C1-6FA5-47B5C89A2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D57C-7171-4B63-9E7B-5E2EFF99BC48}">
  <dimension ref="B1:Q30"/>
  <sheetViews>
    <sheetView workbookViewId="0">
      <selection activeCell="H30" activeCellId="1" sqref="B4:B30 H4:H30"/>
    </sheetView>
  </sheetViews>
  <sheetFormatPr defaultRowHeight="13.8" x14ac:dyDescent="0.25"/>
  <cols>
    <col min="3" max="3" width="9.109375" bestFit="1" customWidth="1"/>
    <col min="7" max="7" width="9.109375" bestFit="1" customWidth="1"/>
    <col min="10" max="10" width="9.5546875" bestFit="1" customWidth="1"/>
  </cols>
  <sheetData>
    <row r="1" spans="2:17" ht="14.4" x14ac:dyDescent="0.25">
      <c r="B1" t="s">
        <v>11</v>
      </c>
      <c r="D1" t="s">
        <v>12</v>
      </c>
      <c r="E1">
        <v>176</v>
      </c>
      <c r="F1" t="s">
        <v>13</v>
      </c>
      <c r="G1">
        <v>4</v>
      </c>
      <c r="H1" s="3" t="s">
        <v>15</v>
      </c>
      <c r="I1" s="4">
        <v>1.2559999999999999E-6</v>
      </c>
      <c r="J1" t="s">
        <v>16</v>
      </c>
      <c r="K1">
        <v>0.5</v>
      </c>
      <c r="L1" t="s">
        <v>17</v>
      </c>
      <c r="M1">
        <v>2700</v>
      </c>
      <c r="N1" t="s">
        <v>18</v>
      </c>
      <c r="O1">
        <v>2.4E-2</v>
      </c>
      <c r="P1" t="s">
        <v>19</v>
      </c>
      <c r="Q1">
        <v>0.28000000000000003</v>
      </c>
    </row>
    <row r="2" spans="2:17" x14ac:dyDescent="0.25">
      <c r="B2" s="7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t="s">
        <v>14</v>
      </c>
      <c r="J2" s="5">
        <f>I1*M1*K1/SQRT(Q1^2+O1^2)*1000</f>
        <v>6.0335906361256875</v>
      </c>
    </row>
    <row r="3" spans="2:17" x14ac:dyDescent="0.25">
      <c r="B3" s="7"/>
      <c r="C3" s="9" t="s">
        <v>7</v>
      </c>
      <c r="D3" s="9" t="s">
        <v>8</v>
      </c>
      <c r="E3" s="9" t="s">
        <v>9</v>
      </c>
      <c r="F3" s="9" t="s">
        <v>10</v>
      </c>
      <c r="G3" s="8"/>
      <c r="H3" s="8"/>
      <c r="I3" t="s">
        <v>20</v>
      </c>
      <c r="J3" s="6">
        <f>(H4-J2)/J2</f>
        <v>3.5278864667450692E-2</v>
      </c>
    </row>
    <row r="4" spans="2:17" x14ac:dyDescent="0.25">
      <c r="B4" s="10">
        <v>0</v>
      </c>
      <c r="C4" s="8">
        <v>-4.43</v>
      </c>
      <c r="D4" s="8">
        <v>4.38</v>
      </c>
      <c r="E4" s="8">
        <v>-4.3899999999999997</v>
      </c>
      <c r="F4" s="8">
        <v>4.3899999999999997</v>
      </c>
      <c r="G4" s="8">
        <f>(-C4+D4-E4+F4)/4</f>
        <v>4.3975</v>
      </c>
      <c r="H4" s="8">
        <f>G4/($E$1*$G$1)*1000</f>
        <v>6.2464488636363633</v>
      </c>
    </row>
    <row r="5" spans="2:17" x14ac:dyDescent="0.25">
      <c r="B5" s="10">
        <v>1</v>
      </c>
      <c r="C5" s="8">
        <v>-4.43</v>
      </c>
      <c r="D5" s="8">
        <v>4.38</v>
      </c>
      <c r="E5" s="8">
        <v>-4.3899999999999997</v>
      </c>
      <c r="F5" s="8">
        <v>4.3899999999999997</v>
      </c>
      <c r="G5" s="8">
        <f t="shared" ref="G5:G30" si="0">(-C5+D5-E5+F5)/4</f>
        <v>4.3975</v>
      </c>
      <c r="H5" s="8">
        <f t="shared" ref="H5:H30" si="1">G5/($E$1*$G$1)*1000</f>
        <v>6.2464488636363633</v>
      </c>
    </row>
    <row r="6" spans="2:17" x14ac:dyDescent="0.25">
      <c r="B6" s="10">
        <v>2</v>
      </c>
      <c r="C6" s="8">
        <v>-4.43</v>
      </c>
      <c r="D6" s="8">
        <v>4.38</v>
      </c>
      <c r="E6" s="8">
        <v>-4.3899999999999997</v>
      </c>
      <c r="F6" s="8">
        <v>4.3899999999999997</v>
      </c>
      <c r="G6" s="8">
        <f t="shared" si="0"/>
        <v>4.3975</v>
      </c>
      <c r="H6" s="8">
        <f t="shared" si="1"/>
        <v>6.2464488636363633</v>
      </c>
    </row>
    <row r="7" spans="2:17" x14ac:dyDescent="0.25">
      <c r="B7" s="10">
        <v>3</v>
      </c>
      <c r="C7" s="8">
        <v>-4.42</v>
      </c>
      <c r="D7" s="8">
        <v>4.38</v>
      </c>
      <c r="E7" s="8">
        <v>-4.3899999999999997</v>
      </c>
      <c r="F7" s="8">
        <v>4.3899999999999997</v>
      </c>
      <c r="G7" s="8">
        <f t="shared" si="0"/>
        <v>4.3950000000000005</v>
      </c>
      <c r="H7" s="8">
        <f t="shared" si="1"/>
        <v>6.2428977272727284</v>
      </c>
    </row>
    <row r="8" spans="2:17" x14ac:dyDescent="0.25">
      <c r="B8" s="10">
        <v>4</v>
      </c>
      <c r="C8" s="8">
        <v>-4.42</v>
      </c>
      <c r="D8" s="8">
        <v>4.38</v>
      </c>
      <c r="E8" s="8">
        <v>-4.3899999999999997</v>
      </c>
      <c r="F8" s="8">
        <v>4.3899999999999997</v>
      </c>
      <c r="G8" s="8">
        <f t="shared" si="0"/>
        <v>4.3950000000000005</v>
      </c>
      <c r="H8" s="8">
        <f t="shared" si="1"/>
        <v>6.2428977272727284</v>
      </c>
    </row>
    <row r="9" spans="2:17" x14ac:dyDescent="0.25">
      <c r="B9" s="10">
        <v>5</v>
      </c>
      <c r="C9" s="8">
        <v>-4.42</v>
      </c>
      <c r="D9" s="8">
        <v>4.38</v>
      </c>
      <c r="E9" s="8">
        <v>-4.3899999999999997</v>
      </c>
      <c r="F9" s="8">
        <v>4.3899999999999997</v>
      </c>
      <c r="G9" s="8">
        <f t="shared" si="0"/>
        <v>4.3950000000000005</v>
      </c>
      <c r="H9" s="8">
        <f t="shared" si="1"/>
        <v>6.2428977272727284</v>
      </c>
    </row>
    <row r="10" spans="2:17" x14ac:dyDescent="0.25">
      <c r="B10" s="10">
        <v>6</v>
      </c>
      <c r="C10" s="8">
        <v>-4.42</v>
      </c>
      <c r="D10" s="8">
        <v>4.37</v>
      </c>
      <c r="E10" s="8">
        <v>-4.3899999999999997</v>
      </c>
      <c r="F10" s="8">
        <v>4.3899999999999997</v>
      </c>
      <c r="G10" s="8">
        <f t="shared" si="0"/>
        <v>4.3925000000000001</v>
      </c>
      <c r="H10" s="8">
        <f t="shared" si="1"/>
        <v>6.2393465909090917</v>
      </c>
    </row>
    <row r="11" spans="2:17" x14ac:dyDescent="0.25">
      <c r="B11" s="10">
        <v>7</v>
      </c>
      <c r="C11" s="8">
        <v>-4.42</v>
      </c>
      <c r="D11" s="8">
        <v>4.37</v>
      </c>
      <c r="E11" s="8">
        <v>-4.3899999999999997</v>
      </c>
      <c r="F11" s="8">
        <v>4.38</v>
      </c>
      <c r="G11" s="8">
        <f t="shared" si="0"/>
        <v>4.3899999999999997</v>
      </c>
      <c r="H11" s="8">
        <f t="shared" si="1"/>
        <v>6.2357954545454541</v>
      </c>
    </row>
    <row r="12" spans="2:17" x14ac:dyDescent="0.25">
      <c r="B12" s="10">
        <v>8</v>
      </c>
      <c r="C12" s="8">
        <v>-4.3899999999999997</v>
      </c>
      <c r="D12" s="8">
        <v>4.3600000000000003</v>
      </c>
      <c r="E12" s="8">
        <v>-4.38</v>
      </c>
      <c r="F12" s="8">
        <v>4.37</v>
      </c>
      <c r="G12" s="8">
        <f t="shared" si="0"/>
        <v>4.375</v>
      </c>
      <c r="H12" s="8">
        <f t="shared" si="1"/>
        <v>6.2144886363636358</v>
      </c>
    </row>
    <row r="13" spans="2:17" x14ac:dyDescent="0.25">
      <c r="B13" s="10">
        <v>9</v>
      </c>
      <c r="C13" s="8">
        <v>-4.37</v>
      </c>
      <c r="D13" s="8">
        <v>4.3600000000000003</v>
      </c>
      <c r="E13" s="8">
        <v>-4.37</v>
      </c>
      <c r="F13" s="8">
        <v>4.3499999999999996</v>
      </c>
      <c r="G13" s="8">
        <f t="shared" si="0"/>
        <v>4.3625000000000007</v>
      </c>
      <c r="H13" s="8">
        <f t="shared" si="1"/>
        <v>6.1967329545454559</v>
      </c>
    </row>
    <row r="14" spans="2:17" x14ac:dyDescent="0.25">
      <c r="B14" s="10">
        <v>10</v>
      </c>
      <c r="C14" s="8">
        <v>-4.33</v>
      </c>
      <c r="D14" s="8">
        <v>4.28</v>
      </c>
      <c r="E14" s="8">
        <v>-4.3</v>
      </c>
      <c r="F14" s="8">
        <v>4.2699999999999996</v>
      </c>
      <c r="G14" s="8">
        <f t="shared" si="0"/>
        <v>4.2949999999999999</v>
      </c>
      <c r="H14" s="8">
        <f t="shared" si="1"/>
        <v>6.1008522727272725</v>
      </c>
    </row>
    <row r="15" spans="2:17" x14ac:dyDescent="0.25">
      <c r="B15" s="10">
        <v>11</v>
      </c>
      <c r="C15" s="8">
        <v>-4.25</v>
      </c>
      <c r="D15" s="8">
        <v>4.1900000000000004</v>
      </c>
      <c r="E15" s="8">
        <v>-4.1900000000000004</v>
      </c>
      <c r="F15" s="8">
        <v>4.18</v>
      </c>
      <c r="G15" s="8">
        <f t="shared" si="0"/>
        <v>4.2025000000000006</v>
      </c>
      <c r="H15" s="8">
        <f t="shared" si="1"/>
        <v>5.9694602272727275</v>
      </c>
    </row>
    <row r="16" spans="2:17" x14ac:dyDescent="0.25">
      <c r="B16" s="10">
        <v>11.2</v>
      </c>
      <c r="C16" s="8">
        <v>-4.18</v>
      </c>
      <c r="D16" s="8">
        <v>4.17</v>
      </c>
      <c r="E16" s="8">
        <v>-4.16</v>
      </c>
      <c r="F16" s="8">
        <v>4.17</v>
      </c>
      <c r="G16" s="8">
        <f t="shared" si="0"/>
        <v>4.17</v>
      </c>
      <c r="H16" s="8">
        <f t="shared" si="1"/>
        <v>5.9232954545454541</v>
      </c>
    </row>
    <row r="17" spans="2:8" x14ac:dyDescent="0.25">
      <c r="B17" s="10">
        <v>11.4</v>
      </c>
      <c r="C17" s="8">
        <v>-4.1399999999999997</v>
      </c>
      <c r="D17" s="8">
        <v>4.13</v>
      </c>
      <c r="E17" s="8">
        <v>-4.13</v>
      </c>
      <c r="F17" s="8">
        <v>4.13</v>
      </c>
      <c r="G17" s="8">
        <f t="shared" si="0"/>
        <v>4.1324999999999994</v>
      </c>
      <c r="H17" s="8">
        <f t="shared" si="1"/>
        <v>5.8700284090909083</v>
      </c>
    </row>
    <row r="18" spans="2:8" x14ac:dyDescent="0.25">
      <c r="B18" s="10">
        <v>11.6</v>
      </c>
      <c r="C18" s="8">
        <v>-4.0999999999999996</v>
      </c>
      <c r="D18" s="8">
        <v>4.08</v>
      </c>
      <c r="E18" s="8">
        <v>-4.07</v>
      </c>
      <c r="F18" s="8">
        <v>4.08</v>
      </c>
      <c r="G18" s="8">
        <f t="shared" si="0"/>
        <v>4.0824999999999996</v>
      </c>
      <c r="H18" s="8">
        <f t="shared" si="1"/>
        <v>5.7990056818181817</v>
      </c>
    </row>
    <row r="19" spans="2:8" x14ac:dyDescent="0.25">
      <c r="B19" s="10">
        <v>11.8</v>
      </c>
      <c r="C19" s="8">
        <v>-4.0599999999999996</v>
      </c>
      <c r="D19" s="8">
        <v>4.05</v>
      </c>
      <c r="E19" s="8">
        <v>-4.04</v>
      </c>
      <c r="F19" s="8">
        <v>4.04</v>
      </c>
      <c r="G19" s="8">
        <f t="shared" si="0"/>
        <v>4.0474999999999994</v>
      </c>
      <c r="H19" s="8">
        <f t="shared" si="1"/>
        <v>5.7492897727272725</v>
      </c>
    </row>
    <row r="20" spans="2:8" x14ac:dyDescent="0.25">
      <c r="B20" s="10">
        <v>12</v>
      </c>
      <c r="C20" s="8">
        <v>-4.0199999999999996</v>
      </c>
      <c r="D20" s="8">
        <v>4.01</v>
      </c>
      <c r="E20" s="8">
        <v>-4.01</v>
      </c>
      <c r="F20" s="8">
        <v>4</v>
      </c>
      <c r="G20" s="8">
        <f t="shared" si="0"/>
        <v>4.01</v>
      </c>
      <c r="H20" s="8">
        <f t="shared" si="1"/>
        <v>5.6960227272727266</v>
      </c>
    </row>
    <row r="21" spans="2:8" x14ac:dyDescent="0.25">
      <c r="B21" s="10">
        <v>12.2</v>
      </c>
      <c r="C21" s="8">
        <v>-3.94</v>
      </c>
      <c r="D21" s="8">
        <v>3.93</v>
      </c>
      <c r="E21" s="8">
        <v>-3.93</v>
      </c>
      <c r="F21" s="8">
        <v>3.93</v>
      </c>
      <c r="G21" s="8">
        <f t="shared" si="0"/>
        <v>3.9325000000000001</v>
      </c>
      <c r="H21" s="8">
        <f t="shared" si="1"/>
        <v>5.5859375</v>
      </c>
    </row>
    <row r="22" spans="2:8" x14ac:dyDescent="0.25">
      <c r="B22" s="10">
        <v>12.4</v>
      </c>
      <c r="C22" s="8">
        <v>-3.86</v>
      </c>
      <c r="D22" s="8">
        <v>3.85</v>
      </c>
      <c r="E22" s="8">
        <v>-3.85</v>
      </c>
      <c r="F22" s="8">
        <v>3.85</v>
      </c>
      <c r="G22" s="8">
        <f t="shared" si="0"/>
        <v>3.8525</v>
      </c>
      <c r="H22" s="8">
        <f t="shared" si="1"/>
        <v>5.4723011363636367</v>
      </c>
    </row>
    <row r="23" spans="2:8" x14ac:dyDescent="0.25">
      <c r="B23" s="10">
        <v>12.6</v>
      </c>
      <c r="C23" s="8">
        <v>-3.76</v>
      </c>
      <c r="D23" s="8">
        <v>3.74</v>
      </c>
      <c r="E23" s="8">
        <v>-3.74</v>
      </c>
      <c r="F23" s="8">
        <v>3.75</v>
      </c>
      <c r="G23" s="8">
        <f t="shared" si="0"/>
        <v>3.7475000000000001</v>
      </c>
      <c r="H23" s="8">
        <f t="shared" si="1"/>
        <v>5.3231534090909092</v>
      </c>
    </row>
    <row r="24" spans="2:8" x14ac:dyDescent="0.25">
      <c r="B24" s="10">
        <v>12.8</v>
      </c>
      <c r="C24" s="8">
        <v>-3.63</v>
      </c>
      <c r="D24" s="8">
        <v>3.62</v>
      </c>
      <c r="E24" s="8">
        <v>-3.62</v>
      </c>
      <c r="F24" s="8">
        <v>3.61</v>
      </c>
      <c r="G24" s="8">
        <f t="shared" si="0"/>
        <v>3.62</v>
      </c>
      <c r="H24" s="8">
        <f t="shared" si="1"/>
        <v>5.142045454545455</v>
      </c>
    </row>
    <row r="25" spans="2:8" x14ac:dyDescent="0.25">
      <c r="B25" s="10">
        <v>13</v>
      </c>
      <c r="C25" s="8">
        <v>-3.46</v>
      </c>
      <c r="D25" s="8">
        <v>3.44</v>
      </c>
      <c r="E25" s="8">
        <v>-3.43</v>
      </c>
      <c r="F25" s="8">
        <v>3.44</v>
      </c>
      <c r="G25" s="8">
        <f t="shared" si="0"/>
        <v>3.4424999999999999</v>
      </c>
      <c r="H25" s="8">
        <f t="shared" si="1"/>
        <v>4.8899147727272725</v>
      </c>
    </row>
    <row r="26" spans="2:8" x14ac:dyDescent="0.25">
      <c r="B26" s="10">
        <v>13.2</v>
      </c>
      <c r="C26" s="8">
        <v>-3.3</v>
      </c>
      <c r="D26" s="8">
        <v>3.29</v>
      </c>
      <c r="E26" s="8">
        <v>-3.28</v>
      </c>
      <c r="F26" s="8">
        <v>3.29</v>
      </c>
      <c r="G26" s="8">
        <f t="shared" si="0"/>
        <v>3.29</v>
      </c>
      <c r="H26" s="8">
        <f t="shared" si="1"/>
        <v>4.6732954545454541</v>
      </c>
    </row>
    <row r="27" spans="2:8" x14ac:dyDescent="0.25">
      <c r="B27" s="10">
        <v>13.4</v>
      </c>
      <c r="C27" s="8">
        <v>-3.09</v>
      </c>
      <c r="D27" s="8">
        <v>3.08</v>
      </c>
      <c r="E27" s="8">
        <v>-3.07</v>
      </c>
      <c r="F27" s="8">
        <v>3.08</v>
      </c>
      <c r="G27" s="8">
        <f t="shared" si="0"/>
        <v>3.08</v>
      </c>
      <c r="H27" s="8">
        <f t="shared" si="1"/>
        <v>4.375</v>
      </c>
    </row>
    <row r="28" spans="2:8" x14ac:dyDescent="0.25">
      <c r="B28" s="10">
        <v>13.6</v>
      </c>
      <c r="C28" s="8">
        <v>-2.82</v>
      </c>
      <c r="D28" s="8">
        <v>2.76</v>
      </c>
      <c r="E28" s="8">
        <v>-2.75</v>
      </c>
      <c r="F28" s="8">
        <v>2.75</v>
      </c>
      <c r="G28" s="8">
        <f t="shared" si="0"/>
        <v>2.77</v>
      </c>
      <c r="H28" s="8">
        <f t="shared" si="1"/>
        <v>3.9346590909090913</v>
      </c>
    </row>
    <row r="29" spans="2:8" x14ac:dyDescent="0.25">
      <c r="B29" s="10">
        <v>13.8</v>
      </c>
      <c r="C29" s="8">
        <v>-2.57</v>
      </c>
      <c r="D29" s="8">
        <v>2.5299999999999998</v>
      </c>
      <c r="E29" s="8">
        <v>-2.5299999999999998</v>
      </c>
      <c r="F29" s="8">
        <v>2.5499999999999998</v>
      </c>
      <c r="G29" s="8">
        <f t="shared" si="0"/>
        <v>2.5449999999999999</v>
      </c>
      <c r="H29" s="8">
        <f t="shared" si="1"/>
        <v>3.6150568181818179</v>
      </c>
    </row>
    <row r="30" spans="2:8" x14ac:dyDescent="0.25">
      <c r="B30" s="10">
        <v>14</v>
      </c>
      <c r="C30" s="8">
        <v>-2.2400000000000002</v>
      </c>
      <c r="D30" s="8">
        <v>2.15</v>
      </c>
      <c r="E30" s="8">
        <v>-2.17</v>
      </c>
      <c r="F30" s="8">
        <v>2.21</v>
      </c>
      <c r="G30" s="8">
        <f t="shared" si="0"/>
        <v>2.1924999999999999</v>
      </c>
      <c r="H30" s="8">
        <f t="shared" si="1"/>
        <v>3.1143465909090908</v>
      </c>
    </row>
  </sheetData>
  <mergeCells count="1">
    <mergeCell ref="B2:B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912B-C020-4A0A-899B-DF92BFC1FCB0}">
  <dimension ref="B2:G13"/>
  <sheetViews>
    <sheetView workbookViewId="0">
      <selection activeCell="G4" activeCellId="1" sqref="B4:B13 G4:G13"/>
    </sheetView>
  </sheetViews>
  <sheetFormatPr defaultRowHeight="13.8" x14ac:dyDescent="0.25"/>
  <sheetData>
    <row r="2" spans="2:7" x14ac:dyDescent="0.25">
      <c r="B2" s="7" t="s">
        <v>21</v>
      </c>
      <c r="C2" s="8" t="s">
        <v>1</v>
      </c>
      <c r="D2" s="8" t="s">
        <v>2</v>
      </c>
      <c r="E2" s="8" t="s">
        <v>3</v>
      </c>
      <c r="F2" s="8" t="s">
        <v>4</v>
      </c>
      <c r="G2" s="7" t="s">
        <v>22</v>
      </c>
    </row>
    <row r="3" spans="2:7" x14ac:dyDescent="0.25">
      <c r="B3" s="7"/>
      <c r="C3" s="9" t="s">
        <v>7</v>
      </c>
      <c r="D3" s="9" t="s">
        <v>8</v>
      </c>
      <c r="E3" s="9" t="s">
        <v>9</v>
      </c>
      <c r="F3" s="9" t="s">
        <v>10</v>
      </c>
      <c r="G3" s="7"/>
    </row>
    <row r="4" spans="2:7" x14ac:dyDescent="0.25">
      <c r="B4" s="8">
        <v>0</v>
      </c>
      <c r="C4" s="8">
        <v>-0.01</v>
      </c>
      <c r="D4" s="8">
        <v>0.01</v>
      </c>
      <c r="E4" s="8">
        <v>0</v>
      </c>
      <c r="F4" s="8">
        <v>0</v>
      </c>
      <c r="G4" s="8">
        <f>(-C4+D4-E4+F4)/4</f>
        <v>5.0000000000000001E-3</v>
      </c>
    </row>
    <row r="5" spans="2:7" x14ac:dyDescent="0.25">
      <c r="B5" s="8">
        <v>100</v>
      </c>
      <c r="C5" s="8">
        <v>-0.85</v>
      </c>
      <c r="D5" s="8">
        <v>0.9</v>
      </c>
      <c r="E5" s="8">
        <v>-0.85</v>
      </c>
      <c r="F5" s="8">
        <v>0.86</v>
      </c>
      <c r="G5" s="8">
        <f t="shared" ref="G5:G13" si="0">(-C5+D5-E5+F5)/4</f>
        <v>0.86499999999999999</v>
      </c>
    </row>
    <row r="6" spans="2:7" x14ac:dyDescent="0.25">
      <c r="B6" s="8">
        <v>200</v>
      </c>
      <c r="C6" s="8">
        <v>-1.73</v>
      </c>
      <c r="D6" s="8">
        <v>1.78</v>
      </c>
      <c r="E6" s="8">
        <v>-1.75</v>
      </c>
      <c r="F6" s="8">
        <v>1.76</v>
      </c>
      <c r="G6" s="8">
        <f t="shared" si="0"/>
        <v>1.7549999999999999</v>
      </c>
    </row>
    <row r="7" spans="2:7" x14ac:dyDescent="0.25">
      <c r="B7" s="8">
        <v>300</v>
      </c>
      <c r="C7" s="8">
        <v>-2.61</v>
      </c>
      <c r="D7" s="8">
        <v>2.65</v>
      </c>
      <c r="E7" s="8">
        <v>-2.62</v>
      </c>
      <c r="F7" s="8">
        <v>2.63</v>
      </c>
      <c r="G7" s="8">
        <f t="shared" si="0"/>
        <v>2.6274999999999999</v>
      </c>
    </row>
    <row r="8" spans="2:7" x14ac:dyDescent="0.25">
      <c r="B8" s="8">
        <v>400</v>
      </c>
      <c r="C8" s="8">
        <v>-3.5</v>
      </c>
      <c r="D8" s="8">
        <v>3.52</v>
      </c>
      <c r="E8" s="8">
        <v>-3.48</v>
      </c>
      <c r="F8" s="8">
        <v>3.5</v>
      </c>
      <c r="G8" s="8">
        <f t="shared" si="0"/>
        <v>3.5</v>
      </c>
    </row>
    <row r="9" spans="2:7" x14ac:dyDescent="0.25">
      <c r="B9" s="8">
        <v>500</v>
      </c>
      <c r="C9" s="8">
        <v>-4.34</v>
      </c>
      <c r="D9" s="8">
        <v>4.4000000000000004</v>
      </c>
      <c r="E9" s="8">
        <v>-4.3499999999999996</v>
      </c>
      <c r="F9" s="8">
        <v>4.3600000000000003</v>
      </c>
      <c r="G9" s="8">
        <f t="shared" si="0"/>
        <v>4.3624999999999998</v>
      </c>
    </row>
    <row r="10" spans="2:7" x14ac:dyDescent="0.25">
      <c r="B10" s="8">
        <v>600</v>
      </c>
      <c r="C10" s="8">
        <v>-5.22</v>
      </c>
      <c r="D10" s="8">
        <v>5.27</v>
      </c>
      <c r="E10" s="8">
        <v>-5.22</v>
      </c>
      <c r="F10" s="8">
        <v>5.23</v>
      </c>
      <c r="G10" s="8">
        <f t="shared" si="0"/>
        <v>5.2349999999999994</v>
      </c>
    </row>
    <row r="11" spans="2:7" x14ac:dyDescent="0.25">
      <c r="B11" s="8">
        <v>700</v>
      </c>
      <c r="C11" s="8">
        <v>-6.1</v>
      </c>
      <c r="D11" s="8">
        <v>6.13</v>
      </c>
      <c r="E11" s="8">
        <v>-6.1</v>
      </c>
      <c r="F11" s="8">
        <v>6.11</v>
      </c>
      <c r="G11" s="8">
        <f t="shared" si="0"/>
        <v>6.1099999999999994</v>
      </c>
    </row>
    <row r="12" spans="2:7" x14ac:dyDescent="0.25">
      <c r="B12" s="8">
        <v>800</v>
      </c>
      <c r="C12" s="8">
        <v>-6.96</v>
      </c>
      <c r="D12" s="8">
        <v>7.02</v>
      </c>
      <c r="E12" s="8">
        <v>-6.97</v>
      </c>
      <c r="F12" s="8">
        <v>6.99</v>
      </c>
      <c r="G12" s="8">
        <f t="shared" si="0"/>
        <v>6.9849999999999994</v>
      </c>
    </row>
    <row r="13" spans="2:7" x14ac:dyDescent="0.25">
      <c r="B13" s="8">
        <v>900</v>
      </c>
      <c r="C13" s="8">
        <v>-7.83</v>
      </c>
      <c r="D13" s="8">
        <v>7.89</v>
      </c>
      <c r="E13" s="8">
        <v>-7.84</v>
      </c>
      <c r="F13" s="8">
        <v>7.82</v>
      </c>
      <c r="G13" s="8">
        <f t="shared" si="0"/>
        <v>7.8449999999999998</v>
      </c>
    </row>
  </sheetData>
  <mergeCells count="2">
    <mergeCell ref="B2:B3"/>
    <mergeCell ref="G2:G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81E9-9B65-4C83-A0A9-2D02A79D36D5}">
  <dimension ref="B2:G12"/>
  <sheetViews>
    <sheetView tabSelected="1" workbookViewId="0">
      <selection activeCell="G4" activeCellId="1" sqref="B4:B12 G4:G12"/>
    </sheetView>
  </sheetViews>
  <sheetFormatPr defaultRowHeight="13.8" x14ac:dyDescent="0.25"/>
  <sheetData>
    <row r="2" spans="2:7" x14ac:dyDescent="0.25">
      <c r="B2" s="1" t="s">
        <v>23</v>
      </c>
      <c r="C2" t="s">
        <v>1</v>
      </c>
      <c r="D2" t="s">
        <v>2</v>
      </c>
      <c r="E2" t="s">
        <v>3</v>
      </c>
      <c r="F2" t="s">
        <v>4</v>
      </c>
      <c r="G2" s="1" t="s">
        <v>22</v>
      </c>
    </row>
    <row r="3" spans="2:7" x14ac:dyDescent="0.25">
      <c r="B3" s="1"/>
      <c r="C3" s="2" t="s">
        <v>7</v>
      </c>
      <c r="D3" s="2" t="s">
        <v>8</v>
      </c>
      <c r="E3" s="2" t="s">
        <v>9</v>
      </c>
      <c r="F3" s="2" t="s">
        <v>10</v>
      </c>
      <c r="G3" s="1"/>
    </row>
    <row r="4" spans="2:7" x14ac:dyDescent="0.25">
      <c r="B4">
        <v>0</v>
      </c>
      <c r="C4">
        <v>-0.01</v>
      </c>
      <c r="D4">
        <v>0.01</v>
      </c>
      <c r="E4">
        <v>-0.01</v>
      </c>
      <c r="F4">
        <v>0.01</v>
      </c>
      <c r="G4">
        <f>(-C4+D4-E4+F4)/4</f>
        <v>0.01</v>
      </c>
    </row>
    <row r="5" spans="2:7" x14ac:dyDescent="0.25">
      <c r="B5">
        <v>0.5</v>
      </c>
      <c r="C5">
        <v>-0.55000000000000004</v>
      </c>
      <c r="D5">
        <v>0.56999999999999995</v>
      </c>
      <c r="E5">
        <v>-0.51</v>
      </c>
      <c r="F5">
        <v>0.55000000000000004</v>
      </c>
      <c r="G5">
        <f t="shared" ref="G5:G12" si="0">(-C5+D5-E5+F5)/4</f>
        <v>0.54500000000000004</v>
      </c>
    </row>
    <row r="6" spans="2:7" x14ac:dyDescent="0.25">
      <c r="B6">
        <v>1</v>
      </c>
      <c r="C6">
        <v>-1.1000000000000001</v>
      </c>
      <c r="D6">
        <v>1.1100000000000001</v>
      </c>
      <c r="E6">
        <v>-1.08</v>
      </c>
      <c r="F6">
        <v>1.1000000000000001</v>
      </c>
      <c r="G6">
        <f t="shared" si="0"/>
        <v>1.0975000000000001</v>
      </c>
    </row>
    <row r="7" spans="2:7" x14ac:dyDescent="0.25">
      <c r="B7">
        <v>1.5</v>
      </c>
      <c r="C7">
        <v>-1.61</v>
      </c>
      <c r="D7">
        <v>1.67</v>
      </c>
      <c r="E7">
        <v>-1.63</v>
      </c>
      <c r="F7">
        <v>1.64</v>
      </c>
      <c r="G7">
        <f t="shared" si="0"/>
        <v>1.6375</v>
      </c>
    </row>
    <row r="8" spans="2:7" x14ac:dyDescent="0.25">
      <c r="B8">
        <v>2</v>
      </c>
      <c r="C8">
        <v>-2.19</v>
      </c>
      <c r="D8">
        <v>2.2000000000000002</v>
      </c>
      <c r="E8">
        <v>-2.16</v>
      </c>
      <c r="F8">
        <v>2.1800000000000002</v>
      </c>
      <c r="G8">
        <f t="shared" si="0"/>
        <v>2.1825000000000001</v>
      </c>
    </row>
    <row r="9" spans="2:7" x14ac:dyDescent="0.25">
      <c r="B9">
        <v>2.5</v>
      </c>
      <c r="C9">
        <v>-2.73</v>
      </c>
      <c r="D9">
        <v>2.76</v>
      </c>
      <c r="E9">
        <f>-2.71</f>
        <v>-2.71</v>
      </c>
      <c r="F9">
        <v>2.72</v>
      </c>
      <c r="G9">
        <f t="shared" si="0"/>
        <v>2.73</v>
      </c>
    </row>
    <row r="10" spans="2:7" x14ac:dyDescent="0.25">
      <c r="B10">
        <v>3</v>
      </c>
      <c r="C10">
        <v>-3.3</v>
      </c>
      <c r="D10">
        <v>3.31</v>
      </c>
      <c r="E10">
        <v>-3.25</v>
      </c>
      <c r="F10">
        <v>3.26</v>
      </c>
      <c r="G10">
        <f t="shared" si="0"/>
        <v>3.28</v>
      </c>
    </row>
    <row r="11" spans="2:7" x14ac:dyDescent="0.25">
      <c r="B11">
        <v>3.5</v>
      </c>
      <c r="C11">
        <v>-3.85</v>
      </c>
      <c r="D11">
        <v>3.84</v>
      </c>
      <c r="E11">
        <v>-3.79</v>
      </c>
      <c r="F11">
        <v>3.8</v>
      </c>
      <c r="G11">
        <f t="shared" si="0"/>
        <v>3.8200000000000003</v>
      </c>
    </row>
    <row r="12" spans="2:7" x14ac:dyDescent="0.25">
      <c r="B12">
        <v>4</v>
      </c>
      <c r="C12">
        <v>-4.3899999999999997</v>
      </c>
      <c r="D12">
        <v>4.3899999999999997</v>
      </c>
      <c r="E12">
        <v>-4.3499999999999996</v>
      </c>
      <c r="F12">
        <v>4.3499999999999996</v>
      </c>
      <c r="G12">
        <f t="shared" si="0"/>
        <v>4.3699999999999992</v>
      </c>
    </row>
  </sheetData>
  <mergeCells count="2">
    <mergeCell ref="B2:B3"/>
    <mergeCell ref="G2:G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maikesw D</dc:creator>
  <cp:lastModifiedBy>maikesw D</cp:lastModifiedBy>
  <dcterms:created xsi:type="dcterms:W3CDTF">2025-04-18T10:15:56Z</dcterms:created>
  <dcterms:modified xsi:type="dcterms:W3CDTF">2025-04-18T13:01:34Z</dcterms:modified>
</cp:coreProperties>
</file>